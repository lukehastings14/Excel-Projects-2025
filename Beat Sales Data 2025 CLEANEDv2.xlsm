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ukas/Desktop/Excel Project For Portfolio 2025/"/>
    </mc:Choice>
  </mc:AlternateContent>
  <xr:revisionPtr revIDLastSave="0" documentId="8_{297141E8-C582-D04C-97C2-7D4C61653593}" xr6:coauthVersionLast="47" xr6:coauthVersionMax="47" xr10:uidLastSave="{00000000-0000-0000-0000-000000000000}"/>
  <bookViews>
    <workbookView xWindow="0" yWindow="740" windowWidth="34560" windowHeight="21600"/>
  </bookViews>
  <sheets>
    <sheet name="Beat Sales Data 2025 CLEANEDv2" sheetId="1" r:id="rId1"/>
    <sheet name="Beat Sales Data 2025 CLEANED" sheetId="2" r:id="rId2"/>
  </sheets>
  <calcPr calcId="191029"/>
  <pivotCaches>
    <pivotCache cacheId="3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1" l="1"/>
  <c r="K8" i="1"/>
  <c r="J8" i="1"/>
</calcChain>
</file>

<file path=xl/sharedStrings.xml><?xml version="1.0" encoding="utf-8"?>
<sst xmlns="http://schemas.openxmlformats.org/spreadsheetml/2006/main" count="480" uniqueCount="244">
  <si>
    <t>Sales Report</t>
  </si>
  <si>
    <t>From 2024-01-01T00:00:00Z to 2024-12-31T23:59:59Z</t>
  </si>
  <si>
    <t>Items Sold</t>
  </si>
  <si>
    <t>Gross</t>
  </si>
  <si>
    <t>Discounts</t>
  </si>
  <si>
    <t>Collab %</t>
  </si>
  <si>
    <t>BeatStars %</t>
  </si>
  <si>
    <t>Net Sales</t>
  </si>
  <si>
    <t>Collab Sales</t>
  </si>
  <si>
    <t>Product Name</t>
  </si>
  <si>
    <t>Type</t>
  </si>
  <si>
    <t>Quantity</t>
  </si>
  <si>
    <t>Gross Amount</t>
  </si>
  <si>
    <t>Net</t>
  </si>
  <si>
    <t>Sirens (Billie Eilish x Dark Pop)</t>
  </si>
  <si>
    <t>track</t>
  </si>
  <si>
    <t>Wrong Number (Billie Eilish x Dark Pop)</t>
  </si>
  <si>
    <t>You're The Worst (Billie Eilish x Dark Pop)</t>
  </si>
  <si>
    <t>Mine (Lana Del Rey x Billie Eilish)</t>
  </si>
  <si>
    <t>Gameboy (Billie Eilish x Dark Pop)</t>
  </si>
  <si>
    <t>Noir (Lana Del Rey x Indie Rock)</t>
  </si>
  <si>
    <t>You'll Be Fine (Billie Eilish x Piano Ballad)</t>
  </si>
  <si>
    <t>Violet (Billie Eilish x Dark Pop)</t>
  </si>
  <si>
    <t>Lovers (Cigarettes After Sex x Lana Del Rey)</t>
  </si>
  <si>
    <t>Angels (Billie Eilish x Dark Pop)</t>
  </si>
  <si>
    <t>Psycho (Billie Eilish x Dark Pop)</t>
  </si>
  <si>
    <t>Gone (Billie Eilish x Dark Pop)</t>
  </si>
  <si>
    <t>Famous (Lana Del Rey x Indie Rock)</t>
  </si>
  <si>
    <t>Used To Know (Billie Eilish x Piano Ballad)</t>
  </si>
  <si>
    <t>[FREE] ACOUSTIC GUITAR TYPE BEAT - I MISS YOU""</t>
  </si>
  <si>
    <t>Trippy (Steve Lacy x Bedroom Pop Type Beat)</t>
  </si>
  <si>
    <t>Muses (Billie Eilish x Dark Pop)</t>
  </si>
  <si>
    <t>Forever - The 1975 Type Beat</t>
  </si>
  <si>
    <t>Affection (Lana Del Rey x Indie Rock)</t>
  </si>
  <si>
    <t>Like You (Cigarettes After Sex x Lana Del Rey)</t>
  </si>
  <si>
    <t>Nutmeg (Lana Del Rey x Indie Rock)</t>
  </si>
  <si>
    <t>I'm A Mess (Lana Del Rey x Indie Rock)</t>
  </si>
  <si>
    <t>Euphoria (Billie Eilish x Dark Pop)</t>
  </si>
  <si>
    <t>Rapture (Billie Eilish x Dark Pop)</t>
  </si>
  <si>
    <t>NEGOTIATION DEAL WITH ProdKult</t>
  </si>
  <si>
    <t>negotiation-deal</t>
  </si>
  <si>
    <t>Lost My Heart (The Weeknd x Dark Pop)</t>
  </si>
  <si>
    <t>Stung (Billie Eilish x Dark Pop)</t>
  </si>
  <si>
    <t>Maniac (Billie Eilish x Dark Pop)</t>
  </si>
  <si>
    <t>Chocolate (Cigarettes After Sex)</t>
  </si>
  <si>
    <t>Dead To Me (Billie Eilish x Dark Pop)</t>
  </si>
  <si>
    <t>Mind Games (Billie Eilish x Dark Pop)</t>
  </si>
  <si>
    <t>Stranger Things (Billie Eilish x Dark Pop)</t>
  </si>
  <si>
    <t>Skyline (Lana Del Rey x Billie Eilish)</t>
  </si>
  <si>
    <t>Capricorn (Billie Eilish x Alternative Rock)</t>
  </si>
  <si>
    <t>SPRING (Indie Rock x Bedroom Pop)</t>
  </si>
  <si>
    <t>Phantom (Lana Del Rey x Arctic Monkeys)</t>
  </si>
  <si>
    <t>Upset (The 1975 x Tame Impala Type Beat)</t>
  </si>
  <si>
    <t>See You Again (Billie Eilish x Joji)</t>
  </si>
  <si>
    <t>Tongue Tied (Billie Eilish x Dark Pop)</t>
  </si>
  <si>
    <t>PLAYING GAMES Oliver Tree x Billie Eilish x Alt Type Beat)</t>
  </si>
  <si>
    <t>Feelings (Billie Eilish x Dark Pop)</t>
  </si>
  <si>
    <t>Nightmare (Billie Eilish x Dark Pop)</t>
  </si>
  <si>
    <t>Invincible (Billie Eilish x Dark Pop)</t>
  </si>
  <si>
    <t>Save My Soul (The Weeknd x Pop)</t>
  </si>
  <si>
    <t>Moonlight (Billie Eilish x Dark Pop)</t>
  </si>
  <si>
    <t>Sinking (Billie Eilish x Dark Pop)</t>
  </si>
  <si>
    <t>BILLIE EILISH BEAT PACK</t>
  </si>
  <si>
    <t>album</t>
  </si>
  <si>
    <t>Cruel Intentions (Billie Eilish x Dark Pop)</t>
  </si>
  <si>
    <t>Trench (Billie Eilish x Dark Pop)</t>
  </si>
  <si>
    <t>Ghost Town (Billie Eilish x Dark Pop)</t>
  </si>
  <si>
    <t>Utopia (Billie Eilish x Dark Pop)</t>
  </si>
  <si>
    <t>Warhol (Lana Del Rey x Indie Rock)</t>
  </si>
  <si>
    <t>I Don't Need You (Billie Eilish x Dark Pop)</t>
  </si>
  <si>
    <t>Chaos (Billie Eilish x Dark Pop)</t>
  </si>
  <si>
    <t>Aftermath (Billie Eilish x Dark Trap)</t>
  </si>
  <si>
    <t>Monarchy (Billie Eilish x Dark Pop)</t>
  </si>
  <si>
    <t>Hurricane (Billie Eilish x Dark Pop)</t>
  </si>
  <si>
    <t>Clementine (Indie Rock x Bedroom Pop)</t>
  </si>
  <si>
    <t>Deja Vu (Billie Eilish x Dark Pop)</t>
  </si>
  <si>
    <t>Without You (Billie Eilish x Pop Type Beat)</t>
  </si>
  <si>
    <t>Fallen (Billie Eilish x Dark Pop)</t>
  </si>
  <si>
    <t>Soulmates (Billie Eilish x Dark Pop)</t>
  </si>
  <si>
    <t>Dream Land (Lana Del Rey x Indie Rock)</t>
  </si>
  <si>
    <t>Somewhere (Lana Del Rey x Indie Rock)</t>
  </si>
  <si>
    <t>Glass Waves (Lana Del Rey x Indie Rock)</t>
  </si>
  <si>
    <t>Sleep (Billie Eilish x Dark Pop)</t>
  </si>
  <si>
    <t>[FREE] SZA x Joji Type Beat - No Love""</t>
  </si>
  <si>
    <t>Madonna (Lana Del Rey x Indie Rock)</t>
  </si>
  <si>
    <t>Two Weeks (Billie Eilish x Dark Pop)</t>
  </si>
  <si>
    <t>Devil Eyes (Billie Eilish x Dark Pop)</t>
  </si>
  <si>
    <t>Memory Lane (Lana Del Rey x Indie Rock)</t>
  </si>
  <si>
    <t>Diamonds (Lana Del Rey x Indie Rock)</t>
  </si>
  <si>
    <t>Good Times - Indie Rock x Bedroom Pop Type Beat</t>
  </si>
  <si>
    <t>Cynical (Billie Eilish x Dark Pop)</t>
  </si>
  <si>
    <t>Heathens (Billie Eilish x Dark Pop)</t>
  </si>
  <si>
    <t>Think Of You (Cigarettes After Sex)</t>
  </si>
  <si>
    <t>Hard To Love (Billie Eilish x Dark Pop)</t>
  </si>
  <si>
    <t>Amnesia (The Weeknd x Pop)</t>
  </si>
  <si>
    <t>Tunnels (Lana Del Rey x Indie Rock)</t>
  </si>
  <si>
    <t>Pray For Me (Billie Eilish x Dark Pop)</t>
  </si>
  <si>
    <t>Too Fast (Billie Eilish x Dark Pop)</t>
  </si>
  <si>
    <t>Answer (Billie Eilish x Dark Pop)</t>
  </si>
  <si>
    <t>Stay Away (Billie Eilish x Dark Pop)</t>
  </si>
  <si>
    <t>Broken Hearts (Lana Del Rey x Indie Rock)</t>
  </si>
  <si>
    <t>Desperado (Alternative Rock x Dark Pop)</t>
  </si>
  <si>
    <t>NO SLEEP (Alternative x Dark Pop x Alt Pop Rock Type Beat)</t>
  </si>
  <si>
    <t>Cry Baby (Billie Eilish x Dark Pop)</t>
  </si>
  <si>
    <t>Carnival (Billie Eilish x Dark Pop)</t>
  </si>
  <si>
    <t>Crash And Burn (Billie Eilish x Dark Pop)</t>
  </si>
  <si>
    <t>Obsession (Billie Eilish x Dark Pop)</t>
  </si>
  <si>
    <t>Fangs (Billie Eilish x Dark Pop)</t>
  </si>
  <si>
    <t>Cardinal (Billie Eilish x Dark Pop)</t>
  </si>
  <si>
    <t>XO (Billie Eilish x Dark Pop)</t>
  </si>
  <si>
    <t>Cocoon (Billie Eilish x Dark Pop)</t>
  </si>
  <si>
    <t>Falling (Billie Eilish x Dark Pop)</t>
  </si>
  <si>
    <t>ONE OF US (Alternative x Dark Pop x Billie Eilish Type Beat)</t>
  </si>
  <si>
    <t>The Hills (Billie Eilish x Dark Pop)</t>
  </si>
  <si>
    <t>DITTO (Indie Rock x Oliver Tree x Alt Pop Type Beat)</t>
  </si>
  <si>
    <t>IN THE WAY (Alternative Rock x Dark Alt Pop Type Beat)</t>
  </si>
  <si>
    <t>Doves (Lana Del Rey x Indie Rock)</t>
  </si>
  <si>
    <t>LANA DEL REY BEAT PACK II</t>
  </si>
  <si>
    <t>Phantom (Billie Eilish x Dark Pop)</t>
  </si>
  <si>
    <t>Meltdown (Billie Eilish x Dark Pop)</t>
  </si>
  <si>
    <t>Monster (Billie Eilish x Dark Pop)</t>
  </si>
  <si>
    <t>Hit Me (Billie Eilish x Dark Pop)</t>
  </si>
  <si>
    <t>WAVES (Travis Scott x Utopia)</t>
  </si>
  <si>
    <t>Vultures (Lana Del Rey x Indie Rock)</t>
  </si>
  <si>
    <t>D4VD BEAT PACK</t>
  </si>
  <si>
    <t>INDIE ROCK BEAT PACK</t>
  </si>
  <si>
    <t>LANA DEL REY BEAT PACK</t>
  </si>
  <si>
    <t>Nocturne (Billie Eilish x Dark Pop)</t>
  </si>
  <si>
    <t>Silhouette (Artemas x Dark Pop)</t>
  </si>
  <si>
    <t>Karaoke (Billie Eilish x Dark Pop)</t>
  </si>
  <si>
    <t>Tunnel Vision (Billie Eilish x Dark Pop)</t>
  </si>
  <si>
    <t>Villain (Billie Eilish x Dark Pop)</t>
  </si>
  <si>
    <t>Deity (Billie Eilish x Dark Pop)</t>
  </si>
  <si>
    <t>Spectre (Billie Eilish x Dark Pop)</t>
  </si>
  <si>
    <t>Anamnesis (The Weeknd x Synth Pop)</t>
  </si>
  <si>
    <t>Howlean - Anxiety (Final)</t>
  </si>
  <si>
    <t>VULTURES (Lana Del Rey x Indie Pop x Dream Pop Type Beat)</t>
  </si>
  <si>
    <t>Depraved (Billie Eilish x Dark Pop)</t>
  </si>
  <si>
    <t>Virtue (Lana Del Rey x Billie Eilish)</t>
  </si>
  <si>
    <t>Enigma (Billie Eilish x Dark Pop)</t>
  </si>
  <si>
    <t>Sinister (Billie Eilish x Dark Pop)</t>
  </si>
  <si>
    <t>Soprano (Billie Eilish x Dark Pop)</t>
  </si>
  <si>
    <t>Lover (Lana Del Rey x Indie Rock)</t>
  </si>
  <si>
    <t>Billie Eilish x Dark Pop Type Beat - HEATHENS""</t>
  </si>
  <si>
    <t>ALWAYS YOU (Indie Rock x Bedroom Pop x Wallows Type Beat)</t>
  </si>
  <si>
    <t>Pourquoi (Billie Eilish x Dark Pop)</t>
  </si>
  <si>
    <t>Fever (Billie Eilish x Dark Pop)</t>
  </si>
  <si>
    <t>Sourire (Billie Eilish x Dark Pop)</t>
  </si>
  <si>
    <t>Apr√©s La Pluie (Billie Eilish x Dark Pop)</t>
  </si>
  <si>
    <t>Toxic (Billie Eilish x Dark Pop)</t>
  </si>
  <si>
    <t>Ethereal Dreams (Billie Eilish x Dark Pop)</t>
  </si>
  <si>
    <t>Moth (Billie Eilish x Dark Pop)</t>
  </si>
  <si>
    <t>HURRICANE (Oliver Tree x Grandson x Alt Rock Type Beat)</t>
  </si>
  <si>
    <t>Reminisce (Billie Eilish x Dark Pop)</t>
  </si>
  <si>
    <t>Want It All (Billie Eilish x Dark Pop)</t>
  </si>
  <si>
    <t>Hollow (Frank Ocean)</t>
  </si>
  <si>
    <t>Heist (Billie Eilish x Artemas)</t>
  </si>
  <si>
    <t>Ruinous (Billie Eilish x Dark Pop)</t>
  </si>
  <si>
    <t>Three Wishes (Billie Eilish x Dark Pop)</t>
  </si>
  <si>
    <t>Jealousy (Billie Eilish x Dark Pop)</t>
  </si>
  <si>
    <t>Empire (Billie Eilish x Dark Pop)</t>
  </si>
  <si>
    <t>I Love You (Lana Del Rey x Indie Rock)</t>
  </si>
  <si>
    <t>Who Are You - Indie Rock x Bedroom Pop Type Beat</t>
  </si>
  <si>
    <t>GLOOM [ASAP ROCKY x JID]</t>
  </si>
  <si>
    <t>LABYRINTH (Alternative x Dark Pop x Palaye Royale Type Beat)</t>
  </si>
  <si>
    <t>Carousel (Billie Eilish x Dark Pop)</t>
  </si>
  <si>
    <t>Miracle (Billie Eilish x Dark Pop)</t>
  </si>
  <si>
    <t>Echoes (Lana Del Rey x Indie Rock)</t>
  </si>
  <si>
    <t>NEGOTIATION DEAL WITH Chkody</t>
  </si>
  <si>
    <t>POETIC JUSTICE (ASAP ROCKY x KENDRICK LAMAR)</t>
  </si>
  <si>
    <t>Eclipse (Billie Eilish x Dark Pop)</t>
  </si>
  <si>
    <t>Nicotine (Billie Eilish x Dark Pop)</t>
  </si>
  <si>
    <t>Feathers (Billie Eilish x Pop)</t>
  </si>
  <si>
    <t>Nostalgia (Lana Del Rey x Indie Rock)</t>
  </si>
  <si>
    <t>One Of Us (Billie Eilish x Dark Pop)</t>
  </si>
  <si>
    <t>Poison (Billie Eilish x Dark Pop)</t>
  </si>
  <si>
    <t>Whispers (Billie Eilish x Dark Pop)</t>
  </si>
  <si>
    <t>Alone Again (Billie Eilish x Dark Pop)</t>
  </si>
  <si>
    <t>Shadowplay (Billie Eilish x Dark Pop)</t>
  </si>
  <si>
    <t>Bad Ending (Lana Del Rey x Indie Rock)</t>
  </si>
  <si>
    <t>Sunset Drive (Lana Del Rey x Alternative Rock)</t>
  </si>
  <si>
    <t>Runaway (Billie Eilish x Dark Pop)</t>
  </si>
  <si>
    <t>Adult Swim (Lana Del Rey x Indie Rock)</t>
  </si>
  <si>
    <t>Pirouette (Amy Winehouse x Lana Del Rey)</t>
  </si>
  <si>
    <t>If You Miss Me (Billie Eilish x Dark Pop)</t>
  </si>
  <si>
    <t>Doomed (Billie Eilish x Dark Pop)</t>
  </si>
  <si>
    <t>Slow Motion (Billie Eilish x Dark Pop)</t>
  </si>
  <si>
    <t>Rolling Stone (Lana Del Rey x Indie Rock)</t>
  </si>
  <si>
    <t>Butterfly Effect (Billie Eilish x Dark Pop)</t>
  </si>
  <si>
    <t>Labyrinth (Lana Del Rey x Indie Rock)</t>
  </si>
  <si>
    <t>AFTERGLOW (Dark Pop x Alternative x Grandson Type Beat)</t>
  </si>
  <si>
    <t>Solstice (Billie Eilish x Dark Pop)</t>
  </si>
  <si>
    <t>Petrichor (Darkwave x Artemas)</t>
  </si>
  <si>
    <t>SPITEFUL (Darkwave x Artemas x Mareux)</t>
  </si>
  <si>
    <t>Origami (Billie Eilish x Dark Pop)</t>
  </si>
  <si>
    <t>Avalanche (Billie Eilish x Dark Pop)</t>
  </si>
  <si>
    <t>Afterglow (Billie Eilish x Dark Pop)</t>
  </si>
  <si>
    <t>Lost In Time (Billie Eilish x Dark Pop)</t>
  </si>
  <si>
    <t>Wicked (Darkwave x Artemas)</t>
  </si>
  <si>
    <t>GOLD CHAINS [ASAP ROCKY X JID]</t>
  </si>
  <si>
    <t>Pleasure (Billie Eilish x Dark Pop)</t>
  </si>
  <si>
    <t>Imposter (Darkwave x Artemas)</t>
  </si>
  <si>
    <t>Apparition (Billie Eilish x Dark Pop)</t>
  </si>
  <si>
    <t>Halcyon (Billie Eilish x Dark Pop)</t>
  </si>
  <si>
    <t>Impulse (Billie Eilish x Dark Pop)</t>
  </si>
  <si>
    <t>Together (Billie Eilish x Dark Pop)</t>
  </si>
  <si>
    <t>Voids (Darkwave x Artemas)</t>
  </si>
  <si>
    <t>Far Cry (Billie Eilish x Acoustic Guitar)</t>
  </si>
  <si>
    <t>DUMMY (TYLER THE CREATOR x ASAP ROCKY TYPE BEAT)</t>
  </si>
  <si>
    <t>Sonder (Billie Eilish x Dark Pop)</t>
  </si>
  <si>
    <t>SPITEFUL (Darkwave x Mareux x Artemas 80s Pop Type Beat)</t>
  </si>
  <si>
    <t>Mischief (Billie Eilish x Dark Pop)</t>
  </si>
  <si>
    <t>TUNNEL VISION (Dark Pop x Alternative x Halloween Type Beat)</t>
  </si>
  <si>
    <t>Eternal Sunshine (Billie Eilish x Dark Pop)</t>
  </si>
  <si>
    <t>Howlean Custom Beat - NEMESIS FINAL</t>
  </si>
  <si>
    <t>Disaster (Alternative Rock x Dark Pop)</t>
  </si>
  <si>
    <t>Memento (Billie Eilish x Dark Pop)</t>
  </si>
  <si>
    <t>Starstruck (Lana Del Rey x Indie Rock)</t>
  </si>
  <si>
    <t>Lament (Billie Eilish x Dark Pop)</t>
  </si>
  <si>
    <t>Masquerade (Billie Eilish x Dark Pop)</t>
  </si>
  <si>
    <t>Rodeo (Billie Eilish x Dark Pop)</t>
  </si>
  <si>
    <t>Where Are You (The Weeknd x Chase Atlantic)</t>
  </si>
  <si>
    <t>Romance (Lana Del Rey x Indie Rock)</t>
  </si>
  <si>
    <t>VOIDS (80s Pop x Artemas x Mr Kitty x Darkwave Type Beat)</t>
  </si>
  <si>
    <t>COVENANT (Darkwave x 80s Synth Pop x Artemas Type Beat)</t>
  </si>
  <si>
    <t>Billie Eilish x Dark Pop Type Beat - OBSESSION""</t>
  </si>
  <si>
    <t>DREAMERS (Bedroom Pop x Dayglow x Dream Pop Type Beat)</t>
  </si>
  <si>
    <t>Fading Lights</t>
  </si>
  <si>
    <t>Get Lost (Billie Eilish x Dark Pop)</t>
  </si>
  <si>
    <t>Fragments</t>
  </si>
  <si>
    <t>Dishonest (Alternative Rock x Dark Pop)</t>
  </si>
  <si>
    <t>Vex (Billie Eilish x Dark Pop)</t>
  </si>
  <si>
    <t>Raven (Acoustic Guitar x Billie Eilish)</t>
  </si>
  <si>
    <t>BILLIE EILISH BEAT PACK II</t>
  </si>
  <si>
    <t>CALC NET SALES</t>
  </si>
  <si>
    <t>Sum of Net</t>
  </si>
  <si>
    <t>Row Labels</t>
  </si>
  <si>
    <t>Grand Total</t>
  </si>
  <si>
    <t>AVERAGE QUANTITY PER BEAT</t>
  </si>
  <si>
    <t>SUM OF COLLAB SALES</t>
  </si>
  <si>
    <t>Question 1: Do collab sales hurt business?</t>
  </si>
  <si>
    <t>Question 2: What were the highest selling beats? Top 5?</t>
  </si>
  <si>
    <t>Question 3: What is the average quantity sold per beat?</t>
  </si>
  <si>
    <t>QUESTIONS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</si>
</sst>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/>
    </xf>
    <xf numFmtId="44" fontId="0" fillId="0" borderId="0" xfId="1" applyFont="1" applyAlignment="1">
      <alignment horizontal="center"/>
    </xf>
    <xf numFmtId="44" fontId="16" fillId="0" borderId="0" xfId="1" applyFont="1"/>
    <xf numFmtId="0" fontId="16" fillId="33" borderId="0" xfId="0" applyFont="1" applyFill="1"/>
    <xf numFmtId="0" fontId="16" fillId="33" borderId="0" xfId="0" applyFont="1" applyFill="1" applyAlignment="1">
      <alignment horizontal="center"/>
    </xf>
    <xf numFmtId="44" fontId="16" fillId="33" borderId="0" xfId="1" applyFont="1" applyFill="1"/>
    <xf numFmtId="0" fontId="0" fillId="33" borderId="0" xfId="0" applyFill="1"/>
    <xf numFmtId="44" fontId="0" fillId="0" borderId="0" xfId="0" applyNumberFormat="1"/>
    <xf numFmtId="44" fontId="16" fillId="33" borderId="0" xfId="1" applyFont="1" applyFill="1" applyAlignment="1">
      <alignment horizontal="center"/>
    </xf>
    <xf numFmtId="4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0" fillId="34" borderId="0" xfId="0" applyFill="1"/>
    <xf numFmtId="0" fontId="16" fillId="34" borderId="0" xfId="0" applyFont="1" applyFill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3">
    <dxf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[Beat Sales Data 2025 CLEANEDv2.xlsm]Beat Sales Data 2025 CLEANED!PivotTable1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Beat Solds 2024</a:t>
            </a:r>
          </a:p>
        </c:rich>
      </c:tx>
      <c:overlay val="0"/>
      <c:spPr>
        <a:solidFill>
          <a:schemeClr val="accent2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-1.9801980198019802E-2"/>
              <c:y val="-0.2903885480572597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2.7227722772277228E-2"/>
              <c:y val="9.20245398773006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1.2376237623762376E-3"/>
              <c:y val="-4.70347648261758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-4.3316831683168341E-2"/>
              <c:y val="-1.02249488752556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layout>
            <c:manualLayout>
              <c:x val="4.826732673267322E-2"/>
              <c:y val="-8.179959100204508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'Beat Sales Data 2025 CLEANED'!$B$3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80F8-B347-B755-6BC6577D9E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0F8-B347-B755-6BC6577D9E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80F8-B347-B755-6BC6577D9E1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0F8-B347-B755-6BC6577D9E1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80F8-B347-B755-6BC6577D9E13}"/>
              </c:ext>
            </c:extLst>
          </c:dPt>
          <c:dLbls>
            <c:dLbl>
              <c:idx val="0"/>
              <c:layout>
                <c:manualLayout>
                  <c:x val="-1.9801980198019802E-2"/>
                  <c:y val="-0.2903885480572597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F8-B347-B755-6BC6577D9E13}"/>
                </c:ext>
              </c:extLst>
            </c:dLbl>
            <c:dLbl>
              <c:idx val="1"/>
              <c:layout>
                <c:manualLayout>
                  <c:x val="2.7227722772277228E-2"/>
                  <c:y val="9.20245398773006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F8-B347-B755-6BC6577D9E13}"/>
                </c:ext>
              </c:extLst>
            </c:dLbl>
            <c:dLbl>
              <c:idx val="2"/>
              <c:layout>
                <c:manualLayout>
                  <c:x val="1.2376237623762376E-3"/>
                  <c:y val="-4.703476482617587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F8-B347-B755-6BC6577D9E13}"/>
                </c:ext>
              </c:extLst>
            </c:dLbl>
            <c:dLbl>
              <c:idx val="3"/>
              <c:layout>
                <c:manualLayout>
                  <c:x val="-4.3316831683168341E-2"/>
                  <c:y val="-1.022494887525562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F8-B347-B755-6BC6577D9E13}"/>
                </c:ext>
              </c:extLst>
            </c:dLbl>
            <c:dLbl>
              <c:idx val="4"/>
              <c:layout>
                <c:manualLayout>
                  <c:x val="4.826732673267322E-2"/>
                  <c:y val="-8.179959100204508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F8-B347-B755-6BC6577D9E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'Beat Sales Data 2025 CLEANED'!$A$4:$A$9</c:f>
              <c:strCache>
                <c:ptCount val="5"/>
                <c:pt idx="0">
                  <c:v>Sirens (Billie Eilish x Dark Pop)</c:v>
                </c:pt>
                <c:pt idx="1">
                  <c:v>NEGOTIATION DEAL WITH Chkody</c:v>
                </c:pt>
                <c:pt idx="2">
                  <c:v>Mine (Lana Del Rey x Billie Eilish)</c:v>
                </c:pt>
                <c:pt idx="3">
                  <c:v>Affection (Lana Del Rey x Indie Rock)</c:v>
                </c:pt>
                <c:pt idx="4">
                  <c:v>Sourire (Billie Eilish x Dark Pop)</c:v>
                </c:pt>
              </c:strCache>
            </c:strRef>
          </c:cat>
          <c:val>
            <c:numRef>
              <c:f>'Beat Sales Data 2025 CLEANED'!$B$4:$B$9</c:f>
              <c:numCache>
                <c:formatCode>General</c:formatCode>
                <c:ptCount val="5"/>
                <c:pt idx="0">
                  <c:v>10870.67</c:v>
                </c:pt>
                <c:pt idx="1">
                  <c:v>4975</c:v>
                </c:pt>
                <c:pt idx="2">
                  <c:v>3030.18</c:v>
                </c:pt>
                <c:pt idx="3">
                  <c:v>1354.91</c:v>
                </c:pt>
                <c:pt idx="4">
                  <c:v>920.12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8-B347-B755-6BC6577D9E1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3</xdr:row>
      <xdr:rowOff>76200</xdr:rowOff>
    </xdr:from>
    <xdr:to>
      <xdr:col>18</xdr:col>
      <xdr:colOff>304800</xdr:colOff>
      <xdr:row>38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F2FBF9-2D91-9A59-2D07-27F97C4FD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Beat%20Sales%20Data%202025%20CLEANEDv2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kas" refreshedDate="45869.666044212965" createdVersion="8" refreshedVersion="8" minRefreshableVersion="3" recordCount="224">
  <cacheSource type="worksheet">
    <worksheetSource ref="A7:H231" sheet="Beat Sales Data 2025 CLEANEDv2" r:id="rId2"/>
  </cacheSource>
  <cacheFields count="8">
    <cacheField name="Product Name" numFmtId="0">
      <sharedItems count="217">
        <s v="Sirens (Billie Eilish x Dark Pop)"/>
        <s v="Wrong Number (Billie Eilish x Dark Pop)"/>
        <s v="You're The Worst (Billie Eilish x Dark Pop)"/>
        <s v="Mine (Lana Del Rey x Billie Eilish)"/>
        <s v="Gameboy (Billie Eilish x Dark Pop)"/>
        <s v="Noir (Lana Del Rey x Indie Rock)"/>
        <s v="You'll Be Fine (Billie Eilish x Piano Ballad)"/>
        <s v="Violet (Billie Eilish x Dark Pop)"/>
        <s v="Lovers (Cigarettes After Sex x Lana Del Rey)"/>
        <s v="Angels (Billie Eilish x Dark Pop)"/>
        <s v="Psycho (Billie Eilish x Dark Pop)"/>
        <s v="Gone (Billie Eilish x Dark Pop)"/>
        <s v="Famous (Lana Del Rey x Indie Rock)"/>
        <s v="Used To Know (Billie Eilish x Piano Ballad)"/>
        <s v="[FREE] ACOUSTIC GUITAR TYPE BEAT - I MISS YOU&quot;&quot;"/>
        <s v="Trippy (Steve Lacy x Bedroom Pop Type Beat)"/>
        <s v="Muses (Billie Eilish x Dark Pop)"/>
        <s v="Forever - The 1975 Type Beat"/>
        <s v="Affection (Lana Del Rey x Indie Rock)"/>
        <s v="Like You (Cigarettes After Sex x Lana Del Rey)"/>
        <s v="Nutmeg (Lana Del Rey x Indie Rock)"/>
        <s v="I'm A Mess (Lana Del Rey x Indie Rock)"/>
        <s v="Euphoria (Billie Eilish x Dark Pop)"/>
        <s v="Rapture (Billie Eilish x Dark Pop)"/>
        <s v="NEGOTIATION DEAL WITH ProdKult"/>
        <s v="Lost My Heart (The Weeknd x Dark Pop)"/>
        <s v="Stung (Billie Eilish x Dark Pop)"/>
        <s v="Maniac (Billie Eilish x Dark Pop)"/>
        <s v="Chocolate (Cigarettes After Sex)"/>
        <s v="Dead To Me (Billie Eilish x Dark Pop)"/>
        <s v="Mind Games (Billie Eilish x Dark Pop)"/>
        <s v="Stranger Things (Billie Eilish x Dark Pop)"/>
        <s v="Skyline (Lana Del Rey x Billie Eilish)"/>
        <s v="Capricorn (Billie Eilish x Alternative Rock)"/>
        <s v="SPRING (Indie Rock x Bedroom Pop)"/>
        <s v="Phantom (Lana Del Rey x Arctic Monkeys)"/>
        <s v="Upset (The 1975 x Tame Impala Type Beat)"/>
        <s v="See You Again (Billie Eilish x Joji)"/>
        <s v="Tongue Tied (Billie Eilish x Dark Pop)"/>
        <s v="PLAYING GAMES Oliver Tree x Billie Eilish x Alt Type Beat)"/>
        <s v="Feelings (Billie Eilish x Dark Pop)"/>
        <s v="Nightmare (Billie Eilish x Dark Pop)"/>
        <s v="Invincible (Billie Eilish x Dark Pop)"/>
        <s v="Save My Soul (The Weeknd x Pop)"/>
        <s v="Moonlight (Billie Eilish x Dark Pop)"/>
        <s v="Sinking (Billie Eilish x Dark Pop)"/>
        <s v="BILLIE EILISH BEAT PACK"/>
        <s v="Cruel Intentions (Billie Eilish x Dark Pop)"/>
        <s v="Trench (Billie Eilish x Dark Pop)"/>
        <s v="Ghost Town (Billie Eilish x Dark Pop)"/>
        <s v="Utopia (Billie Eilish x Dark Pop)"/>
        <s v="Warhol (Lana Del Rey x Indie Rock)"/>
        <s v="I Don't Need You (Billie Eilish x Dark Pop)"/>
        <s v="Chaos (Billie Eilish x Dark Pop)"/>
        <s v="Aftermath (Billie Eilish x Dark Trap)"/>
        <s v="Monarchy (Billie Eilish x Dark Pop)"/>
        <s v="Hurricane (Billie Eilish x Dark Pop)"/>
        <s v="Clementine (Indie Rock x Bedroom Pop)"/>
        <s v="Deja Vu (Billie Eilish x Dark Pop)"/>
        <s v="Without You (Billie Eilish x Pop Type Beat)"/>
        <s v="Fallen (Billie Eilish x Dark Pop)"/>
        <s v="Soulmates (Billie Eilish x Dark Pop)"/>
        <s v="Dream Land (Lana Del Rey x Indie Rock)"/>
        <s v="Somewhere (Lana Del Rey x Indie Rock)"/>
        <s v="Glass Waves (Lana Del Rey x Indie Rock)"/>
        <s v="Sleep (Billie Eilish x Dark Pop)"/>
        <s v="[FREE] SZA x Joji Type Beat - No Love&quot;&quot;"/>
        <s v="Madonna (Lana Del Rey x Indie Rock)"/>
        <s v="Two Weeks (Billie Eilish x Dark Pop)"/>
        <s v="Devil Eyes (Billie Eilish x Dark Pop)"/>
        <s v="Memory Lane (Lana Del Rey x Indie Rock)"/>
        <s v="Diamonds (Lana Del Rey x Indie Rock)"/>
        <s v="Good Times - Indie Rock x Bedroom Pop Type Beat"/>
        <s v="Cynical (Billie Eilish x Dark Pop)"/>
        <s v="Heathens (Billie Eilish x Dark Pop)"/>
        <s v="Think Of You (Cigarettes After Sex)"/>
        <s v="Hard To Love (Billie Eilish x Dark Pop)"/>
        <s v="Amnesia (The Weeknd x Pop)"/>
        <s v="Tunnels (Lana Del Rey x Indie Rock)"/>
        <s v="Pray For Me (Billie Eilish x Dark Pop)"/>
        <s v="Too Fast (Billie Eilish x Dark Pop)"/>
        <s v="Answer (Billie Eilish x Dark Pop)"/>
        <s v="Stay Away (Billie Eilish x Dark Pop)"/>
        <s v="Broken Hearts (Lana Del Rey x Indie Rock)"/>
        <s v="Desperado (Alternative Rock x Dark Pop)"/>
        <s v="NO SLEEP (Alternative x Dark Pop x Alt Pop Rock Type Beat)"/>
        <s v="Cry Baby (Billie Eilish x Dark Pop)"/>
        <s v="Carnival (Billie Eilish x Dark Pop)"/>
        <s v="Crash And Burn (Billie Eilish x Dark Pop)"/>
        <s v="Obsession (Billie Eilish x Dark Pop)"/>
        <s v="Fangs (Billie Eilish x Dark Pop)"/>
        <s v="Cardinal (Billie Eilish x Dark Pop)"/>
        <s v="XO (Billie Eilish x Dark Pop)"/>
        <s v="Cocoon (Billie Eilish x Dark Pop)"/>
        <s v="Falling (Billie Eilish x Dark Pop)"/>
        <s v="ONE OF US (Alternative x Dark Pop x Billie Eilish Type Beat)"/>
        <s v="The Hills (Billie Eilish x Dark Pop)"/>
        <s v="DITTO (Indie Rock x Oliver Tree x Alt Pop Type Beat)"/>
        <s v="IN THE WAY (Alternative Rock x Dark Alt Pop Type Beat)"/>
        <s v="Doves (Lana Del Rey x Indie Rock)"/>
        <s v="LANA DEL REY BEAT PACK II"/>
        <s v="Phantom (Billie Eilish x Dark Pop)"/>
        <s v="Meltdown (Billie Eilish x Dark Pop)"/>
        <s v="Monster (Billie Eilish x Dark Pop)"/>
        <s v="Hit Me (Billie Eilish x Dark Pop)"/>
        <s v="WAVES (Travis Scott x Utopia)"/>
        <s v="Vultures (Lana Del Rey x Indie Rock)"/>
        <s v="D4VD BEAT PACK"/>
        <s v="INDIE ROCK BEAT PACK"/>
        <s v="LANA DEL REY BEAT PACK"/>
        <s v="Nocturne (Billie Eilish x Dark Pop)"/>
        <s v="Silhouette (Artemas x Dark Pop)"/>
        <s v="Karaoke (Billie Eilish x Dark Pop)"/>
        <s v="Tunnel Vision (Billie Eilish x Dark Pop)"/>
        <s v="Villain (Billie Eilish x Dark Pop)"/>
        <s v="Deity (Billie Eilish x Dark Pop)"/>
        <s v="Spectre (Billie Eilish x Dark Pop)"/>
        <s v="Anamnesis (The Weeknd x Synth Pop)"/>
        <s v="Howlean - Anxiety (Final)"/>
        <s v="VULTURES (Lana Del Rey x Indie Pop x Dream Pop Type Beat)"/>
        <s v="Depraved (Billie Eilish x Dark Pop)"/>
        <s v="Virtue (Lana Del Rey x Billie Eilish)"/>
        <s v="Enigma (Billie Eilish x Dark Pop)"/>
        <s v="Sinister (Billie Eilish x Dark Pop)"/>
        <s v="Soprano (Billie Eilish x Dark Pop)"/>
        <s v="Lover (Lana Del Rey x Indie Rock)"/>
        <s v="Billie Eilish x Dark Pop Type Beat - HEATHENS&quot;&quot;"/>
        <s v="ALWAYS YOU (Indie Rock x Bedroom Pop x Wallows Type Beat)"/>
        <s v="Pourquoi (Billie Eilish x Dark Pop)"/>
        <s v="Fever (Billie Eilish x Dark Pop)"/>
        <s v="Sourire (Billie Eilish x Dark Pop)"/>
        <s v="Apr√©s La Pluie (Billie Eilish x Dark Pop)"/>
        <s v="Toxic (Billie Eilish x Dark Pop)"/>
        <s v="Ethereal Dreams (Billie Eilish x Dark Pop)"/>
        <s v="Moth (Billie Eilish x Dark Pop)"/>
        <s v="HURRICANE (Oliver Tree x Grandson x Alt Rock Type Beat)"/>
        <s v="Reminisce (Billie Eilish x Dark Pop)"/>
        <s v="Want It All (Billie Eilish x Dark Pop)"/>
        <s v="Hollow (Frank Ocean)"/>
        <s v="Heist (Billie Eilish x Artemas)"/>
        <s v="Ruinous (Billie Eilish x Dark Pop)"/>
        <s v="Three Wishes (Billie Eilish x Dark Pop)"/>
        <s v="Jealousy (Billie Eilish x Dark Pop)"/>
        <s v="Empire (Billie Eilish x Dark Pop)"/>
        <s v="I Love You (Lana Del Rey x Indie Rock)"/>
        <s v="Who Are You - Indie Rock x Bedroom Pop Type Beat"/>
        <s v="GLOOM [ASAP ROCKY x JID]"/>
        <s v="LABYRINTH (Alternative x Dark Pop x Palaye Royale Type Beat)"/>
        <s v="Carousel (Billie Eilish x Dark Pop)"/>
        <s v="Miracle (Billie Eilish x Dark Pop)"/>
        <s v="Echoes (Lana Del Rey x Indie Rock)"/>
        <s v="NEGOTIATION DEAL WITH Chkody"/>
        <s v="POETIC JUSTICE (ASAP ROCKY x KENDRICK LAMAR)"/>
        <s v="Eclipse (Billie Eilish x Dark Pop)"/>
        <s v="Nicotine (Billie Eilish x Dark Pop)"/>
        <s v="Feathers (Billie Eilish x Pop)"/>
        <s v="Nostalgia (Lana Del Rey x Indie Rock)"/>
        <s v="One Of Us (Billie Eilish x Dark Pop)"/>
        <s v="Poison (Billie Eilish x Dark Pop)"/>
        <s v="Whispers (Billie Eilish x Dark Pop)"/>
        <s v="Alone Again (Billie Eilish x Dark Pop)"/>
        <s v="Shadowplay (Billie Eilish x Dark Pop)"/>
        <s v="Bad Ending (Lana Del Rey x Indie Rock)"/>
        <s v="Sunset Drive (Lana Del Rey x Alternative Rock)"/>
        <s v="Runaway (Billie Eilish x Dark Pop)"/>
        <s v="Adult Swim (Lana Del Rey x Indie Rock)"/>
        <s v="Pirouette (Amy Winehouse x Lana Del Rey)"/>
        <s v="If You Miss Me (Billie Eilish x Dark Pop)"/>
        <s v="Doomed (Billie Eilish x Dark Pop)"/>
        <s v="Slow Motion (Billie Eilish x Dark Pop)"/>
        <s v="Rolling Stone (Lana Del Rey x Indie Rock)"/>
        <s v="Butterfly Effect (Billie Eilish x Dark Pop)"/>
        <s v="Labyrinth (Lana Del Rey x Indie Rock)"/>
        <s v="AFTERGLOW (Dark Pop x Alternative x Grandson Type Beat)"/>
        <s v="Solstice (Billie Eilish x Dark Pop)"/>
        <s v="Petrichor (Darkwave x Artemas)"/>
        <s v="SPITEFUL (Darkwave x Artemas x Mareux)"/>
        <s v="Origami (Billie Eilish x Dark Pop)"/>
        <s v="Avalanche (Billie Eilish x Dark Pop)"/>
        <s v="Afterglow (Billie Eilish x Dark Pop)"/>
        <s v="Lost In Time (Billie Eilish x Dark Pop)"/>
        <s v="Wicked (Darkwave x Artemas)"/>
        <s v="GOLD CHAINS [ASAP ROCKY X JID]"/>
        <s v="Pleasure (Billie Eilish x Dark Pop)"/>
        <s v="Imposter (Darkwave x Artemas)"/>
        <s v="Apparition (Billie Eilish x Dark Pop)"/>
        <s v="Halcyon (Billie Eilish x Dark Pop)"/>
        <s v="Impulse (Billie Eilish x Dark Pop)"/>
        <s v="Together (Billie Eilish x Dark Pop)"/>
        <s v="Voids (Darkwave x Artemas)"/>
        <s v="Far Cry (Billie Eilish x Acoustic Guitar)"/>
        <s v="DUMMY (TYLER THE CREATOR x ASAP ROCKY TYPE BEAT)"/>
        <s v="Sonder (Billie Eilish x Dark Pop)"/>
        <s v="SPITEFUL (Darkwave x Mareux x Artemas 80s Pop Type Beat)"/>
        <s v="Mischief (Billie Eilish x Dark Pop)"/>
        <s v="TUNNEL VISION (Dark Pop x Alternative x Halloween Type Beat)"/>
        <s v="Eternal Sunshine (Billie Eilish x Dark Pop)"/>
        <s v="Howlean Custom Beat - NEMESIS FINAL"/>
        <s v="Disaster (Alternative Rock x Dark Pop)"/>
        <s v="Memento (Billie Eilish x Dark Pop)"/>
        <s v="Starstruck (Lana Del Rey x Indie Rock)"/>
        <s v="Lament (Billie Eilish x Dark Pop)"/>
        <s v="Masquerade (Billie Eilish x Dark Pop)"/>
        <s v="Rodeo (Billie Eilish x Dark Pop)"/>
        <s v="Where Are You (The Weeknd x Chase Atlantic)"/>
        <s v="Romance (Lana Del Rey x Indie Rock)"/>
        <s v="VOIDS (80s Pop x Artemas x Mr Kitty x Darkwave Type Beat)"/>
        <s v="COVENANT (Darkwave x 80s Synth Pop x Artemas Type Beat)"/>
        <s v="Billie Eilish x Dark Pop Type Beat - OBSESSION&quot;&quot;"/>
        <s v="DREAMERS (Bedroom Pop x Dayglow x Dream Pop Type Beat)"/>
        <s v="Fading Lights"/>
        <s v="Get Lost (Billie Eilish x Dark Pop)"/>
        <s v="Fragments"/>
        <s v="Dishonest (Alternative Rock x Dark Pop)"/>
        <s v="Vex (Billie Eilish x Dark Pop)"/>
        <s v="Raven (Acoustic Guitar x Billie Eilish)"/>
        <s v="BILLIE EILISH BEAT PACK II"/>
      </sharedItems>
    </cacheField>
    <cacheField name="Type" numFmtId="0">
      <sharedItems/>
    </cacheField>
    <cacheField name="Quantity" numFmtId="0">
      <sharedItems containsSemiMixedTypes="0" containsString="0" containsNumber="1" containsInteger="1" minValue="1" maxValue="185"/>
    </cacheField>
    <cacheField name="Gross Amount" numFmtId="44">
      <sharedItems containsSemiMixedTypes="0" containsString="0" containsNumber="1" minValue="0" maxValue="11956.31"/>
    </cacheField>
    <cacheField name="Discounts" numFmtId="44">
      <sharedItems containsSemiMixedTypes="0" containsString="0" containsNumber="1" minValue="0" maxValue="992.32"/>
    </cacheField>
    <cacheField name="Collab %" numFmtId="44">
      <sharedItems containsSemiMixedTypes="0" containsString="0" containsNumber="1" minValue="0" maxValue="920.21"/>
    </cacheField>
    <cacheField name="BeatStars %" numFmtId="44">
      <sharedItems containsSemiMixedTypes="0" containsString="0" containsNumber="1" minValue="0" maxValue="1085.6400000000001"/>
    </cacheField>
    <cacheField name="Net" numFmtId="44">
      <sharedItems containsSemiMixedTypes="0" containsString="0" containsNumber="1" minValue="0" maxValue="10870.67" count="141">
        <n v="10870.67"/>
        <n v="785.33"/>
        <n v="79.989999999999995"/>
        <n v="3030.18"/>
        <n v="0"/>
        <n v="54.98"/>
        <n v="350.83"/>
        <n v="69.98"/>
        <n v="575.80999999999995"/>
        <n v="197.02"/>
        <n v="61.98"/>
        <n v="29.99"/>
        <n v="39.99"/>
        <n v="92.49"/>
        <n v="1354.91"/>
        <n v="258.85000000000002"/>
        <n v="149.9"/>
        <n v="159.91999999999999"/>
        <n v="50"/>
        <n v="125"/>
        <n v="265.31"/>
        <n v="444.73"/>
        <n v="301.88"/>
        <n v="554.99"/>
        <n v="89.97"/>
        <n v="79.97"/>
        <n v="354.7"/>
        <n v="17.48"/>
        <n v="129.94999999999999"/>
        <n v="479.88"/>
        <n v="279.93"/>
        <n v="40"/>
        <n v="393.8"/>
        <n v="44.97"/>
        <n v="149.94999999999999"/>
        <n v="35.96"/>
        <n v="67.47"/>
        <n v="59.98"/>
        <n v="722.37"/>
        <n v="259.93"/>
        <n v="176.71"/>
        <n v="21.98"/>
        <n v="444.62"/>
        <n v="49.94"/>
        <n v="299.77999999999997"/>
        <n v="38.96"/>
        <n v="289.88"/>
        <n v="179.91"/>
        <n v="156.99"/>
        <n v="74.95"/>
        <n v="62.43"/>
        <n v="10.88"/>
        <n v="114.96"/>
        <n v="20"/>
        <n v="117.36"/>
        <n v="100"/>
        <n v="414.63"/>
        <n v="361.86"/>
        <n v="59.93"/>
        <n v="29.95"/>
        <n v="334.77"/>
        <n v="199.93"/>
        <n v="44.92"/>
        <n v="24.99"/>
        <n v="59.9"/>
        <n v="13.47"/>
        <n v="179.8"/>
        <n v="59.96"/>
        <n v="87.48"/>
        <n v="15.72"/>
        <n v="94.87"/>
        <n v="78.89"/>
        <n v="21.47"/>
        <n v="14.97"/>
        <n v="49.95"/>
        <n v="114.92"/>
        <n v="79.94"/>
        <n v="109.87"/>
        <n v="113.81"/>
        <n v="314.7"/>
        <n v="199.95"/>
        <n v="579.75"/>
        <n v="200"/>
        <n v="64.92"/>
        <n v="174.82"/>
        <n v="39.94"/>
        <n v="49.97"/>
        <n v="45"/>
        <n v="26.98"/>
        <n v="73.930000000000007"/>
        <n v="23.96"/>
        <n v="920.12"/>
        <n v="69.91"/>
        <n v="11.98"/>
        <n v="67.41"/>
        <n v="212.33"/>
        <n v="29.98"/>
        <n v="59.97"/>
        <n v="136.12"/>
        <n v="124.87"/>
        <n v="74.98"/>
        <n v="27.96"/>
        <n v="22.37"/>
        <n v="143.96"/>
        <n v="150"/>
        <n v="34.97"/>
        <n v="406.93"/>
        <n v="229.9"/>
        <n v="99.97"/>
        <n v="105"/>
        <n v="149.80000000000001"/>
        <n v="62.18"/>
        <n v="57.41"/>
        <n v="34.950000000000003"/>
        <n v="134.80000000000001"/>
        <n v="26.96"/>
        <n v="600"/>
        <n v="1000"/>
        <n v="92.46"/>
        <n v="257.24"/>
        <n v="72.41"/>
        <n v="67.42"/>
        <n v="24.97"/>
        <n v="162.33000000000001"/>
        <n v="187.42"/>
        <n v="500"/>
        <n v="149.91999999999999"/>
        <n v="314.86"/>
        <n v="120"/>
        <n v="484.79"/>
        <n v="119.85"/>
        <n v="159.82"/>
        <n v="254.75"/>
        <n v="26.21"/>
        <n v="400"/>
        <n v="1500"/>
        <n v="99.92"/>
        <n v="14.86"/>
        <n v="12.5"/>
        <n v="37.46"/>
        <n v="79.9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4">
  <r>
    <x v="0"/>
    <s v="track"/>
    <n v="185"/>
    <n v="11956.31"/>
    <n v="992.32"/>
    <n v="0"/>
    <n v="1085.6400000000001"/>
    <x v="0"/>
  </r>
  <r>
    <x v="1"/>
    <s v="track"/>
    <n v="22"/>
    <n v="879.55"/>
    <n v="143.88999999999999"/>
    <n v="0"/>
    <n v="94.22"/>
    <x v="1"/>
  </r>
  <r>
    <x v="2"/>
    <s v="track"/>
    <n v="1"/>
    <n v="79.989999999999995"/>
    <n v="0"/>
    <n v="0"/>
    <n v="0"/>
    <x v="2"/>
  </r>
  <r>
    <x v="3"/>
    <s v="track"/>
    <n v="56"/>
    <n v="3184.72"/>
    <n v="212.86"/>
    <n v="0"/>
    <n v="154.54"/>
    <x v="3"/>
  </r>
  <r>
    <x v="4"/>
    <s v="track"/>
    <n v="2"/>
    <n v="0"/>
    <n v="109.98"/>
    <n v="0"/>
    <n v="0"/>
    <x v="4"/>
  </r>
  <r>
    <x v="5"/>
    <s v="track"/>
    <n v="1"/>
    <n v="89.59"/>
    <n v="0"/>
    <n v="0"/>
    <n v="9.6"/>
    <x v="2"/>
  </r>
  <r>
    <x v="6"/>
    <s v="track"/>
    <n v="2"/>
    <n v="54.98"/>
    <n v="15"/>
    <n v="0"/>
    <n v="0"/>
    <x v="5"/>
  </r>
  <r>
    <x v="7"/>
    <s v="track"/>
    <n v="7"/>
    <n v="395.22"/>
    <n v="79.97"/>
    <n v="39"/>
    <n v="5.39"/>
    <x v="6"/>
  </r>
  <r>
    <x v="8"/>
    <s v="track"/>
    <n v="3"/>
    <n v="73.58"/>
    <n v="29.95"/>
    <n v="0"/>
    <n v="3.6"/>
    <x v="7"/>
  </r>
  <r>
    <x v="9"/>
    <s v="track"/>
    <n v="9"/>
    <n v="590.21"/>
    <n v="88.95"/>
    <n v="0"/>
    <n v="14.4"/>
    <x v="8"/>
  </r>
  <r>
    <x v="10"/>
    <s v="track"/>
    <n v="6"/>
    <n v="222.16"/>
    <n v="30.98"/>
    <n v="21.9"/>
    <n v="3.24"/>
    <x v="9"/>
  </r>
  <r>
    <x v="11"/>
    <s v="track"/>
    <n v="1"/>
    <n v="0"/>
    <n v="29.99"/>
    <n v="0"/>
    <n v="0"/>
    <x v="4"/>
  </r>
  <r>
    <x v="12"/>
    <s v="track"/>
    <n v="3"/>
    <n v="65.819999999999993"/>
    <n v="207.95"/>
    <n v="0"/>
    <n v="3.84"/>
    <x v="10"/>
  </r>
  <r>
    <x v="13"/>
    <s v="track"/>
    <n v="3"/>
    <n v="29.99"/>
    <n v="129.94"/>
    <n v="0"/>
    <n v="0"/>
    <x v="11"/>
  </r>
  <r>
    <x v="14"/>
    <s v="track"/>
    <n v="1"/>
    <n v="0"/>
    <n v="29.99"/>
    <n v="0"/>
    <n v="0"/>
    <x v="4"/>
  </r>
  <r>
    <x v="15"/>
    <s v="track"/>
    <n v="1"/>
    <n v="39.99"/>
    <n v="0"/>
    <n v="0"/>
    <n v="0"/>
    <x v="12"/>
  </r>
  <r>
    <x v="16"/>
    <s v="track"/>
    <n v="2"/>
    <n v="92.49"/>
    <n v="62.5"/>
    <n v="0"/>
    <n v="0"/>
    <x v="13"/>
  </r>
  <r>
    <x v="17"/>
    <s v="track"/>
    <n v="1"/>
    <n v="0"/>
    <n v="29.99"/>
    <n v="0"/>
    <n v="0"/>
    <x v="4"/>
  </r>
  <r>
    <x v="18"/>
    <s v="track"/>
    <n v="29"/>
    <n v="1385.46"/>
    <n v="223.94"/>
    <n v="0"/>
    <n v="30.55"/>
    <x v="14"/>
  </r>
  <r>
    <x v="19"/>
    <s v="track"/>
    <n v="1"/>
    <n v="0"/>
    <n v="79.989999999999995"/>
    <n v="0"/>
    <n v="0"/>
    <x v="4"/>
  </r>
  <r>
    <x v="20"/>
    <s v="track"/>
    <n v="1"/>
    <n v="79.989999999999995"/>
    <n v="0"/>
    <n v="0"/>
    <n v="0"/>
    <x v="2"/>
  </r>
  <r>
    <x v="21"/>
    <s v="track"/>
    <n v="6"/>
    <n v="273.25"/>
    <n v="95.97"/>
    <n v="0"/>
    <n v="14.4"/>
    <x v="15"/>
  </r>
  <r>
    <x v="22"/>
    <s v="track"/>
    <n v="5"/>
    <n v="163.09"/>
    <n v="79.97"/>
    <n v="0"/>
    <n v="13.19"/>
    <x v="16"/>
  </r>
  <r>
    <x v="23"/>
    <s v="track"/>
    <n v="5"/>
    <n v="325.83"/>
    <n v="0"/>
    <n v="159.91999999999999"/>
    <n v="5.99"/>
    <x v="17"/>
  </r>
  <r>
    <x v="24"/>
    <s v="negotiation-deal"/>
    <n v="1"/>
    <n v="106"/>
    <n v="0"/>
    <n v="50"/>
    <n v="6"/>
    <x v="18"/>
  </r>
  <r>
    <x v="25"/>
    <s v="track"/>
    <n v="1"/>
    <n v="140"/>
    <n v="0"/>
    <n v="0"/>
    <n v="15"/>
    <x v="19"/>
  </r>
  <r>
    <x v="26"/>
    <s v="track"/>
    <n v="10"/>
    <n v="307.77"/>
    <n v="94.92"/>
    <n v="29.5"/>
    <n v="12.96"/>
    <x v="20"/>
  </r>
  <r>
    <x v="27"/>
    <s v="track"/>
    <n v="9"/>
    <n v="474.11"/>
    <n v="34.979999999999997"/>
    <n v="0"/>
    <n v="29.38"/>
    <x v="21"/>
  </r>
  <r>
    <x v="28"/>
    <s v="track"/>
    <n v="1"/>
    <n v="29.99"/>
    <n v="0"/>
    <n v="0"/>
    <n v="0"/>
    <x v="11"/>
  </r>
  <r>
    <x v="29"/>
    <s v="track"/>
    <n v="9"/>
    <n v="320.11"/>
    <n v="47.99"/>
    <n v="0"/>
    <n v="18.23"/>
    <x v="22"/>
  </r>
  <r>
    <x v="30"/>
    <s v="track"/>
    <n v="1"/>
    <n v="33.590000000000003"/>
    <n v="0"/>
    <n v="0"/>
    <n v="3.6"/>
    <x v="11"/>
  </r>
  <r>
    <x v="31"/>
    <s v="track"/>
    <n v="2"/>
    <n v="554.99"/>
    <n v="0"/>
    <n v="0"/>
    <n v="0"/>
    <x v="23"/>
  </r>
  <r>
    <x v="32"/>
    <s v="track"/>
    <n v="2"/>
    <n v="78.38"/>
    <n v="0"/>
    <n v="0"/>
    <n v="8.4"/>
    <x v="7"/>
  </r>
  <r>
    <x v="33"/>
    <s v="track"/>
    <n v="3"/>
    <n v="99.97"/>
    <n v="0"/>
    <n v="10"/>
    <n v="0"/>
    <x v="24"/>
  </r>
  <r>
    <x v="34"/>
    <s v="track"/>
    <n v="1"/>
    <n v="0"/>
    <n v="29.99"/>
    <n v="0"/>
    <n v="0"/>
    <x v="4"/>
  </r>
  <r>
    <x v="35"/>
    <s v="track"/>
    <n v="1"/>
    <n v="29.99"/>
    <n v="0"/>
    <n v="0"/>
    <n v="0"/>
    <x v="11"/>
  </r>
  <r>
    <x v="36"/>
    <s v="track"/>
    <n v="1"/>
    <n v="0"/>
    <n v="29.99"/>
    <n v="0"/>
    <n v="0"/>
    <x v="4"/>
  </r>
  <r>
    <x v="37"/>
    <s v="track"/>
    <n v="3"/>
    <n v="85.97"/>
    <n v="20"/>
    <n v="0"/>
    <n v="6"/>
    <x v="25"/>
  </r>
  <r>
    <x v="38"/>
    <s v="track"/>
    <n v="8"/>
    <n v="388.28"/>
    <n v="14.98"/>
    <n v="0"/>
    <n v="33.58"/>
    <x v="26"/>
  </r>
  <r>
    <x v="39"/>
    <s v="track"/>
    <n v="1"/>
    <n v="34.96"/>
    <n v="0"/>
    <n v="17.48"/>
    <n v="0"/>
    <x v="27"/>
  </r>
  <r>
    <x v="40"/>
    <s v="track"/>
    <n v="3"/>
    <n v="129.94999999999999"/>
    <n v="49.98"/>
    <n v="0"/>
    <n v="0"/>
    <x v="28"/>
  </r>
  <r>
    <x v="41"/>
    <s v="track"/>
    <n v="4"/>
    <n v="479.88"/>
    <n v="0"/>
    <n v="0"/>
    <n v="0"/>
    <x v="29"/>
  </r>
  <r>
    <x v="42"/>
    <s v="track"/>
    <n v="3"/>
    <n v="303.92"/>
    <n v="0"/>
    <n v="0"/>
    <n v="23.99"/>
    <x v="30"/>
  </r>
  <r>
    <x v="43"/>
    <s v="track"/>
    <n v="1"/>
    <n v="84.8"/>
    <n v="0"/>
    <n v="40"/>
    <n v="4.8"/>
    <x v="31"/>
  </r>
  <r>
    <x v="44"/>
    <s v="track"/>
    <n v="8"/>
    <n v="429.78"/>
    <n v="110.96"/>
    <n v="0"/>
    <n v="35.979999999999997"/>
    <x v="32"/>
  </r>
  <r>
    <x v="45"/>
    <s v="track"/>
    <n v="2"/>
    <n v="49.97"/>
    <n v="79.97"/>
    <n v="5"/>
    <n v="0"/>
    <x v="33"/>
  </r>
  <r>
    <x v="46"/>
    <s v="album"/>
    <n v="5"/>
    <n v="167.95"/>
    <n v="0"/>
    <n v="0"/>
    <n v="18"/>
    <x v="34"/>
  </r>
  <r>
    <x v="47"/>
    <s v="track"/>
    <n v="3"/>
    <n v="35.96"/>
    <n v="53.97"/>
    <n v="0"/>
    <n v="0"/>
    <x v="35"/>
  </r>
  <r>
    <x v="48"/>
    <s v="track"/>
    <n v="3"/>
    <n v="134.93"/>
    <n v="129.97"/>
    <n v="67.459999999999994"/>
    <n v="0"/>
    <x v="36"/>
  </r>
  <r>
    <x v="49"/>
    <s v="track"/>
    <n v="2"/>
    <n v="59.98"/>
    <n v="20"/>
    <n v="0"/>
    <n v="0"/>
    <x v="37"/>
  </r>
  <r>
    <x v="50"/>
    <s v="track"/>
    <n v="18"/>
    <n v="1086.79"/>
    <n v="147.44"/>
    <n v="309.64"/>
    <n v="54.78"/>
    <x v="38"/>
  </r>
  <r>
    <x v="51"/>
    <s v="track"/>
    <n v="1"/>
    <n v="0"/>
    <n v="125"/>
    <n v="0"/>
    <n v="0"/>
    <x v="4"/>
  </r>
  <r>
    <x v="52"/>
    <s v="track"/>
    <n v="3"/>
    <n v="291.12"/>
    <n v="0"/>
    <n v="0"/>
    <n v="31.19"/>
    <x v="39"/>
  </r>
  <r>
    <x v="53"/>
    <s v="track"/>
    <n v="12"/>
    <n v="522.38"/>
    <n v="84.98"/>
    <n v="343.02"/>
    <n v="2.65"/>
    <x v="40"/>
  </r>
  <r>
    <x v="54"/>
    <s v="track"/>
    <n v="2"/>
    <n v="46.6"/>
    <n v="25.99"/>
    <n v="21.98"/>
    <n v="2.64"/>
    <x v="41"/>
  </r>
  <r>
    <x v="55"/>
    <s v="track"/>
    <n v="1"/>
    <n v="0"/>
    <n v="39.99"/>
    <n v="0"/>
    <n v="0"/>
    <x v="4"/>
  </r>
  <r>
    <x v="56"/>
    <s v="track"/>
    <n v="12"/>
    <n v="485.97"/>
    <n v="304.86"/>
    <n v="0"/>
    <n v="41.35"/>
    <x v="42"/>
  </r>
  <r>
    <x v="57"/>
    <s v="track"/>
    <n v="2"/>
    <n v="55.93"/>
    <n v="20"/>
    <n v="0"/>
    <n v="5.99"/>
    <x v="43"/>
  </r>
  <r>
    <x v="58"/>
    <s v="track"/>
    <n v="13"/>
    <n v="308.17"/>
    <n v="134.88999999999999"/>
    <n v="0"/>
    <n v="8.39"/>
    <x v="44"/>
  </r>
  <r>
    <x v="59"/>
    <s v="track"/>
    <n v="1"/>
    <n v="29.99"/>
    <n v="0"/>
    <n v="0"/>
    <n v="0"/>
    <x v="11"/>
  </r>
  <r>
    <x v="60"/>
    <s v="track"/>
    <n v="1"/>
    <n v="44.79"/>
    <n v="0"/>
    <n v="0"/>
    <n v="4.8"/>
    <x v="12"/>
  </r>
  <r>
    <x v="61"/>
    <s v="track"/>
    <n v="1"/>
    <n v="39.99"/>
    <n v="0"/>
    <n v="0"/>
    <n v="0"/>
    <x v="12"/>
  </r>
  <r>
    <x v="62"/>
    <s v="track"/>
    <n v="2"/>
    <n v="38.96"/>
    <n v="20.98"/>
    <n v="0"/>
    <n v="0"/>
    <x v="45"/>
  </r>
  <r>
    <x v="63"/>
    <s v="track"/>
    <n v="1"/>
    <n v="125"/>
    <n v="0"/>
    <n v="0"/>
    <n v="0"/>
    <x v="19"/>
  </r>
  <r>
    <x v="64"/>
    <s v="track"/>
    <n v="5"/>
    <n v="317.45999999999998"/>
    <n v="39.99"/>
    <n v="0"/>
    <n v="27.58"/>
    <x v="46"/>
  </r>
  <r>
    <x v="65"/>
    <s v="track"/>
    <n v="3"/>
    <n v="185.91"/>
    <n v="99.98"/>
    <n v="0"/>
    <n v="6"/>
    <x v="47"/>
  </r>
  <r>
    <x v="66"/>
    <s v="track"/>
    <n v="1"/>
    <n v="0"/>
    <n v="29.99"/>
    <n v="0"/>
    <n v="0"/>
    <x v="4"/>
  </r>
  <r>
    <x v="67"/>
    <s v="track"/>
    <n v="1"/>
    <n v="44.79"/>
    <n v="0"/>
    <n v="0"/>
    <n v="4.8"/>
    <x v="12"/>
  </r>
  <r>
    <x v="68"/>
    <s v="track"/>
    <n v="3"/>
    <n v="175.83"/>
    <n v="37.950000000000003"/>
    <n v="0"/>
    <n v="18.84"/>
    <x v="48"/>
  </r>
  <r>
    <x v="69"/>
    <s v="track"/>
    <n v="4"/>
    <n v="152.91"/>
    <n v="69.94"/>
    <n v="74.959999999999994"/>
    <n v="3"/>
    <x v="49"/>
  </r>
  <r>
    <x v="70"/>
    <s v="track"/>
    <n v="3"/>
    <n v="68.13"/>
    <n v="32.46"/>
    <n v="0"/>
    <n v="5.7"/>
    <x v="50"/>
  </r>
  <r>
    <x v="71"/>
    <s v="track"/>
    <n v="1"/>
    <n v="33.299999999999997"/>
    <n v="8"/>
    <n v="21.12"/>
    <n v="1.3"/>
    <x v="51"/>
  </r>
  <r>
    <x v="72"/>
    <s v="track"/>
    <n v="1"/>
    <n v="29.99"/>
    <n v="0"/>
    <n v="0"/>
    <n v="0"/>
    <x v="11"/>
  </r>
  <r>
    <x v="73"/>
    <s v="track"/>
    <n v="3"/>
    <n v="114.96"/>
    <n v="154.97"/>
    <n v="0"/>
    <n v="0"/>
    <x v="52"/>
  </r>
  <r>
    <x v="74"/>
    <s v="track"/>
    <n v="2"/>
    <n v="40"/>
    <n v="29.95"/>
    <n v="20"/>
    <n v="0"/>
    <x v="53"/>
  </r>
  <r>
    <x v="75"/>
    <s v="track"/>
    <n v="1"/>
    <n v="0"/>
    <n v="39.99"/>
    <n v="0"/>
    <n v="0"/>
    <x v="4"/>
  </r>
  <r>
    <x v="76"/>
    <s v="track"/>
    <n v="4"/>
    <n v="125.45"/>
    <n v="37.479999999999997"/>
    <n v="0"/>
    <n v="8.09"/>
    <x v="54"/>
  </r>
  <r>
    <x v="77"/>
    <s v="track"/>
    <n v="1"/>
    <n v="29.99"/>
    <n v="0"/>
    <n v="0"/>
    <n v="0"/>
    <x v="11"/>
  </r>
  <r>
    <x v="78"/>
    <s v="track"/>
    <n v="1"/>
    <n v="112"/>
    <n v="25"/>
    <n v="0"/>
    <n v="12"/>
    <x v="55"/>
  </r>
  <r>
    <x v="79"/>
    <s v="track"/>
    <n v="10"/>
    <n v="430.21"/>
    <n v="74.95"/>
    <n v="0"/>
    <n v="15.58"/>
    <x v="56"/>
  </r>
  <r>
    <x v="80"/>
    <s v="track"/>
    <n v="4"/>
    <n v="389.45"/>
    <n v="107.98"/>
    <n v="0"/>
    <n v="27.59"/>
    <x v="57"/>
  </r>
  <r>
    <x v="81"/>
    <s v="track"/>
    <n v="1"/>
    <n v="39.99"/>
    <n v="0"/>
    <n v="0"/>
    <n v="0"/>
    <x v="12"/>
  </r>
  <r>
    <x v="82"/>
    <s v="track"/>
    <n v="3"/>
    <n v="65.33"/>
    <n v="29.96"/>
    <n v="0"/>
    <n v="5.4"/>
    <x v="58"/>
  </r>
  <r>
    <x v="83"/>
    <s v="track"/>
    <n v="1"/>
    <n v="29.99"/>
    <n v="0"/>
    <n v="0"/>
    <n v="0"/>
    <x v="11"/>
  </r>
  <r>
    <x v="84"/>
    <s v="track"/>
    <n v="3"/>
    <n v="33.54"/>
    <n v="229.9"/>
    <n v="0"/>
    <n v="3.59"/>
    <x v="59"/>
  </r>
  <r>
    <x v="85"/>
    <s v="track"/>
    <n v="1"/>
    <n v="37.06"/>
    <n v="0"/>
    <n v="17.48"/>
    <n v="2.1"/>
    <x v="27"/>
  </r>
  <r>
    <x v="86"/>
    <s v="track"/>
    <n v="5"/>
    <n v="344.35"/>
    <n v="24.98"/>
    <n v="0"/>
    <n v="9.58"/>
    <x v="60"/>
  </r>
  <r>
    <x v="87"/>
    <s v="track"/>
    <n v="3"/>
    <n v="209.53"/>
    <n v="129.91999999999999"/>
    <n v="0"/>
    <n v="9.6"/>
    <x v="61"/>
  </r>
  <r>
    <x v="88"/>
    <s v="track"/>
    <n v="3"/>
    <n v="48.52"/>
    <n v="44.93"/>
    <n v="0"/>
    <n v="3.6"/>
    <x v="62"/>
  </r>
  <r>
    <x v="89"/>
    <s v="track"/>
    <n v="3"/>
    <n v="49.97"/>
    <n v="109.88"/>
    <n v="24.98"/>
    <n v="0"/>
    <x v="63"/>
  </r>
  <r>
    <x v="90"/>
    <s v="track"/>
    <n v="2"/>
    <n v="59.9"/>
    <n v="0"/>
    <n v="0"/>
    <n v="0"/>
    <x v="64"/>
  </r>
  <r>
    <x v="91"/>
    <s v="track"/>
    <n v="2"/>
    <n v="14.97"/>
    <n v="114.93"/>
    <n v="1.5"/>
    <n v="0"/>
    <x v="65"/>
  </r>
  <r>
    <x v="92"/>
    <s v="track"/>
    <n v="3"/>
    <n v="29.95"/>
    <n v="79.900000000000006"/>
    <n v="0"/>
    <n v="0"/>
    <x v="59"/>
  </r>
  <r>
    <x v="93"/>
    <s v="track"/>
    <n v="1"/>
    <n v="29.95"/>
    <n v="0"/>
    <n v="0"/>
    <n v="0"/>
    <x v="59"/>
  </r>
  <r>
    <x v="94"/>
    <s v="track"/>
    <n v="4"/>
    <n v="185.79"/>
    <n v="0"/>
    <n v="0"/>
    <n v="5.99"/>
    <x v="66"/>
  </r>
  <r>
    <x v="95"/>
    <s v="track"/>
    <n v="2"/>
    <n v="119.92"/>
    <n v="0"/>
    <n v="59.96"/>
    <n v="0"/>
    <x v="67"/>
  </r>
  <r>
    <x v="96"/>
    <s v="track"/>
    <n v="3"/>
    <n v="48.51"/>
    <n v="44.93"/>
    <n v="0"/>
    <n v="3.59"/>
    <x v="62"/>
  </r>
  <r>
    <x v="97"/>
    <s v="track"/>
    <n v="1"/>
    <n v="174.97"/>
    <n v="74.98"/>
    <n v="87.49"/>
    <n v="0"/>
    <x v="68"/>
  </r>
  <r>
    <x v="98"/>
    <s v="track"/>
    <n v="1"/>
    <n v="31.45"/>
    <n v="3.5"/>
    <n v="15.73"/>
    <n v="0"/>
    <x v="69"/>
  </r>
  <r>
    <x v="99"/>
    <s v="track"/>
    <n v="3"/>
    <n v="104.45"/>
    <n v="14.98"/>
    <n v="0"/>
    <n v="9.58"/>
    <x v="70"/>
  </r>
  <r>
    <x v="100"/>
    <s v="album"/>
    <n v="1"/>
    <n v="33.590000000000003"/>
    <n v="0"/>
    <n v="0"/>
    <n v="3.6"/>
    <x v="11"/>
  </r>
  <r>
    <x v="101"/>
    <s v="track"/>
    <n v="4"/>
    <n v="78.89"/>
    <n v="60.91"/>
    <n v="0"/>
    <n v="0"/>
    <x v="71"/>
  </r>
  <r>
    <x v="102"/>
    <s v="track"/>
    <n v="2"/>
    <n v="42.93"/>
    <n v="21.97"/>
    <n v="21.46"/>
    <n v="0"/>
    <x v="72"/>
  </r>
  <r>
    <x v="103"/>
    <s v="track"/>
    <n v="1"/>
    <n v="0"/>
    <n v="29.95"/>
    <n v="0"/>
    <n v="0"/>
    <x v="4"/>
  </r>
  <r>
    <x v="104"/>
    <s v="track"/>
    <n v="1"/>
    <n v="14.97"/>
    <n v="14.98"/>
    <n v="0"/>
    <n v="0"/>
    <x v="73"/>
  </r>
  <r>
    <x v="105"/>
    <s v="track"/>
    <n v="1"/>
    <n v="55.94"/>
    <n v="0"/>
    <n v="0"/>
    <n v="5.99"/>
    <x v="74"/>
  </r>
  <r>
    <x v="106"/>
    <s v="track"/>
    <n v="2"/>
    <n v="114.92"/>
    <n v="14.98"/>
    <n v="0"/>
    <n v="0"/>
    <x v="75"/>
  </r>
  <r>
    <x v="107"/>
    <s v="album"/>
    <n v="1"/>
    <n v="33.590000000000003"/>
    <n v="0"/>
    <n v="0"/>
    <n v="3.6"/>
    <x v="11"/>
  </r>
  <r>
    <x v="108"/>
    <s v="album"/>
    <n v="2"/>
    <n v="89.53"/>
    <n v="0"/>
    <n v="0"/>
    <n v="9.59"/>
    <x v="76"/>
  </r>
  <r>
    <x v="109"/>
    <s v="album"/>
    <n v="1"/>
    <n v="33.590000000000003"/>
    <n v="0"/>
    <n v="0"/>
    <n v="3.6"/>
    <x v="11"/>
  </r>
  <r>
    <x v="110"/>
    <s v="track"/>
    <n v="3"/>
    <n v="109.87"/>
    <n v="49.98"/>
    <n v="0"/>
    <n v="0"/>
    <x v="77"/>
  </r>
  <r>
    <x v="111"/>
    <s v="track"/>
    <n v="1"/>
    <n v="29.95"/>
    <n v="0"/>
    <n v="0"/>
    <n v="0"/>
    <x v="59"/>
  </r>
  <r>
    <x v="112"/>
    <s v="track"/>
    <n v="5"/>
    <n v="120.99"/>
    <n v="35.94"/>
    <n v="0"/>
    <n v="7.18"/>
    <x v="78"/>
  </r>
  <r>
    <x v="113"/>
    <s v="track"/>
    <n v="7"/>
    <n v="324.88"/>
    <n v="199.95"/>
    <n v="0"/>
    <n v="10.18"/>
    <x v="79"/>
  </r>
  <r>
    <x v="114"/>
    <s v="track"/>
    <n v="1"/>
    <n v="223.94"/>
    <n v="0"/>
    <n v="0"/>
    <n v="23.99"/>
    <x v="80"/>
  </r>
  <r>
    <x v="115"/>
    <s v="track"/>
    <n v="6"/>
    <n v="579.75"/>
    <n v="29.95"/>
    <n v="0"/>
    <n v="0"/>
    <x v="81"/>
  </r>
  <r>
    <x v="116"/>
    <s v="track"/>
    <n v="2"/>
    <n v="44.92"/>
    <n v="14.98"/>
    <n v="0"/>
    <n v="0"/>
    <x v="62"/>
  </r>
  <r>
    <x v="117"/>
    <s v="track"/>
    <n v="1"/>
    <n v="14.97"/>
    <n v="14.98"/>
    <n v="0"/>
    <n v="0"/>
    <x v="73"/>
  </r>
  <r>
    <x v="118"/>
    <s v="track"/>
    <n v="1"/>
    <n v="224"/>
    <n v="0"/>
    <n v="0"/>
    <n v="24"/>
    <x v="82"/>
  </r>
  <r>
    <x v="119"/>
    <s v="track"/>
    <n v="1"/>
    <n v="37.06"/>
    <n v="0"/>
    <n v="17.48"/>
    <n v="2.1"/>
    <x v="27"/>
  </r>
  <r>
    <x v="120"/>
    <s v="track"/>
    <n v="2"/>
    <n v="66.709999999999994"/>
    <n v="14.98"/>
    <n v="0"/>
    <n v="1.79"/>
    <x v="83"/>
  </r>
  <r>
    <x v="121"/>
    <s v="track"/>
    <n v="1"/>
    <n v="33.54"/>
    <n v="0"/>
    <n v="0"/>
    <n v="3.59"/>
    <x v="59"/>
  </r>
  <r>
    <x v="122"/>
    <s v="track"/>
    <n v="6"/>
    <n v="193.99"/>
    <n v="244.88"/>
    <n v="0"/>
    <n v="19.170000000000002"/>
    <x v="84"/>
  </r>
  <r>
    <x v="123"/>
    <s v="track"/>
    <n v="2"/>
    <n v="42.94"/>
    <n v="39.96"/>
    <n v="0"/>
    <n v="3"/>
    <x v="85"/>
  </r>
  <r>
    <x v="124"/>
    <s v="track"/>
    <n v="1"/>
    <n v="0"/>
    <n v="29.95"/>
    <n v="0"/>
    <n v="0"/>
    <x v="4"/>
  </r>
  <r>
    <x v="125"/>
    <s v="track"/>
    <n v="2"/>
    <n v="55.97"/>
    <n v="249.93"/>
    <n v="0"/>
    <n v="6"/>
    <x v="86"/>
  </r>
  <r>
    <x v="126"/>
    <s v="track"/>
    <n v="1"/>
    <n v="95.4"/>
    <n v="0"/>
    <n v="45"/>
    <n v="5.4"/>
    <x v="87"/>
  </r>
  <r>
    <x v="127"/>
    <s v="track"/>
    <n v="1"/>
    <n v="53.96"/>
    <n v="6"/>
    <n v="26.98"/>
    <n v="0"/>
    <x v="88"/>
  </r>
  <r>
    <x v="128"/>
    <s v="track"/>
    <n v="3"/>
    <n v="73.930000000000007"/>
    <n v="85.92"/>
    <n v="0"/>
    <n v="0"/>
    <x v="89"/>
  </r>
  <r>
    <x v="129"/>
    <s v="track"/>
    <n v="1"/>
    <n v="26.84"/>
    <n v="5.99"/>
    <n v="0"/>
    <n v="2.88"/>
    <x v="90"/>
  </r>
  <r>
    <x v="130"/>
    <s v="track"/>
    <n v="33"/>
    <n v="1905.51"/>
    <n v="288.12"/>
    <n v="920.21"/>
    <n v="65.180000000000007"/>
    <x v="91"/>
  </r>
  <r>
    <x v="131"/>
    <s v="track"/>
    <n v="2"/>
    <n v="69.91"/>
    <n v="9.99"/>
    <n v="0"/>
    <n v="0"/>
    <x v="92"/>
  </r>
  <r>
    <x v="132"/>
    <s v="track"/>
    <n v="1"/>
    <n v="23.96"/>
    <n v="5.99"/>
    <n v="11.98"/>
    <n v="0"/>
    <x v="93"/>
  </r>
  <r>
    <x v="133"/>
    <s v="track"/>
    <n v="2"/>
    <n v="71.900000000000006"/>
    <n v="12.49"/>
    <n v="0"/>
    <n v="4.49"/>
    <x v="94"/>
  </r>
  <r>
    <x v="134"/>
    <s v="track"/>
    <n v="4"/>
    <n v="237.81"/>
    <n v="37.47"/>
    <n v="0"/>
    <n v="25.48"/>
    <x v="95"/>
  </r>
  <r>
    <x v="135"/>
    <s v="track"/>
    <n v="1"/>
    <n v="59.96"/>
    <n v="0"/>
    <n v="29.98"/>
    <n v="0"/>
    <x v="96"/>
  </r>
  <r>
    <x v="136"/>
    <s v="track"/>
    <n v="1"/>
    <n v="33.54"/>
    <n v="0"/>
    <n v="0"/>
    <n v="3.59"/>
    <x v="59"/>
  </r>
  <r>
    <x v="137"/>
    <s v="track"/>
    <n v="1"/>
    <n v="0"/>
    <n v="99.95"/>
    <n v="0"/>
    <n v="0"/>
    <x v="4"/>
  </r>
  <r>
    <x v="138"/>
    <s v="track"/>
    <n v="1"/>
    <n v="59.97"/>
    <n v="39.979999999999997"/>
    <n v="0"/>
    <n v="0"/>
    <x v="97"/>
  </r>
  <r>
    <x v="139"/>
    <s v="track"/>
    <n v="2"/>
    <n v="59.97"/>
    <n v="74.930000000000007"/>
    <n v="29.98"/>
    <n v="0"/>
    <x v="11"/>
  </r>
  <r>
    <x v="140"/>
    <s v="track"/>
    <n v="1"/>
    <n v="0"/>
    <n v="99.95"/>
    <n v="0"/>
    <n v="0"/>
    <x v="4"/>
  </r>
  <r>
    <x v="141"/>
    <s v="track"/>
    <n v="1"/>
    <n v="49.97"/>
    <n v="49.98"/>
    <n v="0"/>
    <n v="0"/>
    <x v="86"/>
  </r>
  <r>
    <x v="142"/>
    <s v="track"/>
    <n v="1"/>
    <n v="0"/>
    <n v="99.95"/>
    <n v="0"/>
    <n v="0"/>
    <x v="4"/>
  </r>
  <r>
    <x v="143"/>
    <s v="track"/>
    <n v="1"/>
    <n v="49.97"/>
    <n v="49.98"/>
    <n v="0"/>
    <n v="0"/>
    <x v="86"/>
  </r>
  <r>
    <x v="144"/>
    <s v="track"/>
    <n v="4"/>
    <n v="139.71"/>
    <n v="63.68"/>
    <n v="0"/>
    <n v="3.59"/>
    <x v="98"/>
  </r>
  <r>
    <x v="145"/>
    <s v="track"/>
    <n v="1"/>
    <n v="55.94"/>
    <n v="0"/>
    <n v="0"/>
    <n v="5.99"/>
    <x v="74"/>
  </r>
  <r>
    <x v="146"/>
    <s v="track"/>
    <n v="3"/>
    <n v="127.87"/>
    <n v="24.98"/>
    <n v="0"/>
    <n v="3"/>
    <x v="99"/>
  </r>
  <r>
    <x v="147"/>
    <s v="track"/>
    <n v="1"/>
    <n v="149.96"/>
    <n v="0"/>
    <n v="74.98"/>
    <n v="0"/>
    <x v="100"/>
  </r>
  <r>
    <x v="148"/>
    <s v="track"/>
    <n v="1"/>
    <n v="31.32"/>
    <n v="6.99"/>
    <n v="0"/>
    <n v="3.36"/>
    <x v="101"/>
  </r>
  <r>
    <x v="149"/>
    <s v="track"/>
    <n v="2"/>
    <n v="27.96"/>
    <n v="106.94"/>
    <n v="5.59"/>
    <n v="0"/>
    <x v="102"/>
  </r>
  <r>
    <x v="150"/>
    <s v="track"/>
    <n v="2"/>
    <n v="159.96"/>
    <n v="74.94"/>
    <n v="16"/>
    <n v="0"/>
    <x v="103"/>
  </r>
  <r>
    <x v="151"/>
    <s v="negotiation-deal"/>
    <n v="1"/>
    <n v="150"/>
    <n v="0"/>
    <n v="0"/>
    <n v="0"/>
    <x v="104"/>
  </r>
  <r>
    <x v="152"/>
    <s v="track"/>
    <n v="2"/>
    <n v="49.95"/>
    <n v="34.950000000000003"/>
    <n v="14.98"/>
    <n v="0"/>
    <x v="105"/>
  </r>
  <r>
    <x v="153"/>
    <s v="track"/>
    <n v="1"/>
    <n v="49.95"/>
    <n v="0"/>
    <n v="0"/>
    <n v="0"/>
    <x v="74"/>
  </r>
  <r>
    <x v="154"/>
    <s v="track"/>
    <n v="1"/>
    <n v="0"/>
    <n v="49.95"/>
    <n v="0"/>
    <n v="0"/>
    <x v="4"/>
  </r>
  <r>
    <x v="155"/>
    <s v="track"/>
    <n v="1"/>
    <n v="0"/>
    <n v="49.95"/>
    <n v="0"/>
    <n v="0"/>
    <x v="4"/>
  </r>
  <r>
    <x v="156"/>
    <s v="track"/>
    <n v="8"/>
    <n v="425.5"/>
    <n v="157.66999999999999"/>
    <n v="0"/>
    <n v="18.57"/>
    <x v="106"/>
  </r>
  <r>
    <x v="157"/>
    <s v="track"/>
    <n v="2"/>
    <n v="229.9"/>
    <n v="0"/>
    <n v="0"/>
    <n v="0"/>
    <x v="107"/>
  </r>
  <r>
    <x v="158"/>
    <s v="track"/>
    <n v="2"/>
    <n v="99.97"/>
    <n v="199.93"/>
    <n v="0"/>
    <n v="0"/>
    <x v="108"/>
  </r>
  <r>
    <x v="159"/>
    <s v="track"/>
    <n v="2"/>
    <n v="49.97"/>
    <n v="84.93"/>
    <n v="0"/>
    <n v="0"/>
    <x v="86"/>
  </r>
  <r>
    <x v="151"/>
    <s v="negotiation-deal"/>
    <n v="1"/>
    <n v="150"/>
    <n v="0"/>
    <n v="45"/>
    <n v="0"/>
    <x v="109"/>
  </r>
  <r>
    <x v="160"/>
    <s v="track"/>
    <n v="4"/>
    <n v="149.80000000000001"/>
    <n v="0"/>
    <n v="0"/>
    <n v="0"/>
    <x v="110"/>
  </r>
  <r>
    <x v="161"/>
    <s v="track"/>
    <n v="2"/>
    <n v="69.91"/>
    <n v="9.99"/>
    <n v="0"/>
    <n v="0"/>
    <x v="92"/>
  </r>
  <r>
    <x v="162"/>
    <s v="track"/>
    <n v="1"/>
    <n v="55.94"/>
    <n v="0"/>
    <n v="0"/>
    <n v="5.99"/>
    <x v="74"/>
  </r>
  <r>
    <x v="163"/>
    <s v="track"/>
    <n v="3"/>
    <n v="62.18"/>
    <n v="52.67"/>
    <n v="0"/>
    <n v="0"/>
    <x v="111"/>
  </r>
  <r>
    <x v="164"/>
    <s v="track"/>
    <n v="1"/>
    <n v="33.549999999999997"/>
    <n v="0"/>
    <n v="0"/>
    <n v="3.6"/>
    <x v="59"/>
  </r>
  <r>
    <x v="165"/>
    <s v="track"/>
    <n v="3"/>
    <n v="64.3"/>
    <n v="42.44"/>
    <n v="0"/>
    <n v="6.89"/>
    <x v="112"/>
  </r>
  <r>
    <x v="166"/>
    <s v="track"/>
    <n v="2"/>
    <n v="34.950000000000003"/>
    <n v="29.95"/>
    <n v="0"/>
    <n v="0"/>
    <x v="113"/>
  </r>
  <r>
    <x v="167"/>
    <s v="track"/>
    <n v="4"/>
    <n v="139"/>
    <n v="0"/>
    <n v="0"/>
    <n v="4.2"/>
    <x v="114"/>
  </r>
  <r>
    <x v="168"/>
    <s v="track"/>
    <n v="2"/>
    <n v="29.96"/>
    <n v="49.95"/>
    <n v="3"/>
    <n v="0"/>
    <x v="115"/>
  </r>
  <r>
    <x v="169"/>
    <s v="track"/>
    <n v="1"/>
    <n v="26.84"/>
    <n v="5.99"/>
    <n v="0"/>
    <n v="2.88"/>
    <x v="90"/>
  </r>
  <r>
    <x v="170"/>
    <s v="track"/>
    <n v="1"/>
    <n v="39.15"/>
    <n v="0"/>
    <n v="0"/>
    <n v="4.2"/>
    <x v="113"/>
  </r>
  <r>
    <x v="171"/>
    <s v="track"/>
    <n v="1"/>
    <n v="39.14"/>
    <n v="0"/>
    <n v="0"/>
    <n v="4.1900000000000004"/>
    <x v="113"/>
  </r>
  <r>
    <x v="172"/>
    <s v="track"/>
    <n v="1"/>
    <n v="27.96"/>
    <n v="6.99"/>
    <n v="0"/>
    <n v="0"/>
    <x v="101"/>
  </r>
  <r>
    <x v="151"/>
    <s v="negotiation-deal"/>
    <n v="1"/>
    <n v="600"/>
    <n v="0"/>
    <n v="0"/>
    <n v="0"/>
    <x v="116"/>
  </r>
  <r>
    <x v="151"/>
    <s v="negotiation-deal"/>
    <n v="1"/>
    <n v="1120"/>
    <n v="0"/>
    <n v="0"/>
    <n v="120"/>
    <x v="117"/>
  </r>
  <r>
    <x v="173"/>
    <s v="track"/>
    <n v="2"/>
    <n v="193.92"/>
    <n v="0"/>
    <n v="92.46"/>
    <n v="9"/>
    <x v="118"/>
  </r>
  <r>
    <x v="174"/>
    <s v="track"/>
    <n v="8"/>
    <n v="259.33"/>
    <n v="317.36"/>
    <n v="0"/>
    <n v="2.09"/>
    <x v="119"/>
  </r>
  <r>
    <x v="175"/>
    <s v="track"/>
    <n v="2"/>
    <n v="76.599999999999994"/>
    <n v="12.49"/>
    <n v="0"/>
    <n v="4.1900000000000004"/>
    <x v="120"/>
  </r>
  <r>
    <x v="176"/>
    <s v="track"/>
    <n v="2"/>
    <n v="69.52"/>
    <n v="17.48"/>
    <n v="0"/>
    <n v="2.1"/>
    <x v="121"/>
  </r>
  <r>
    <x v="177"/>
    <s v="track"/>
    <n v="1"/>
    <n v="0"/>
    <n v="49.95"/>
    <n v="0"/>
    <n v="0"/>
    <x v="4"/>
  </r>
  <r>
    <x v="178"/>
    <s v="track"/>
    <n v="1"/>
    <n v="27.96"/>
    <n v="24.98"/>
    <n v="0"/>
    <n v="2.99"/>
    <x v="122"/>
  </r>
  <r>
    <x v="179"/>
    <s v="track"/>
    <n v="4"/>
    <n v="177.62"/>
    <n v="42.47"/>
    <n v="0"/>
    <n v="15.29"/>
    <x v="123"/>
  </r>
  <r>
    <x v="151"/>
    <s v="negotiation-deal"/>
    <n v="1"/>
    <n v="1000"/>
    <n v="0"/>
    <n v="0"/>
    <n v="0"/>
    <x v="117"/>
  </r>
  <r>
    <x v="180"/>
    <s v="track"/>
    <n v="1"/>
    <n v="34.950000000000003"/>
    <n v="0"/>
    <n v="0"/>
    <n v="0"/>
    <x v="113"/>
  </r>
  <r>
    <x v="181"/>
    <s v="track"/>
    <n v="3"/>
    <n v="205.42"/>
    <n v="162.43"/>
    <n v="0"/>
    <n v="18"/>
    <x v="124"/>
  </r>
  <r>
    <x v="182"/>
    <s v="track"/>
    <n v="1"/>
    <n v="39.14"/>
    <n v="0"/>
    <n v="0"/>
    <n v="4.1900000000000004"/>
    <x v="113"/>
  </r>
  <r>
    <x v="151"/>
    <s v="negotiation-deal"/>
    <n v="1"/>
    <n v="560"/>
    <n v="0"/>
    <n v="0"/>
    <n v="60"/>
    <x v="125"/>
  </r>
  <r>
    <x v="183"/>
    <s v="track"/>
    <n v="2"/>
    <n v="161.91999999999999"/>
    <n v="99.98"/>
    <n v="0"/>
    <n v="12"/>
    <x v="126"/>
  </r>
  <r>
    <x v="184"/>
    <s v="track"/>
    <n v="3"/>
    <n v="319.05"/>
    <n v="19.989999999999998"/>
    <n v="0"/>
    <n v="4.1900000000000004"/>
    <x v="127"/>
  </r>
  <r>
    <x v="151"/>
    <s v="negotiation-deal"/>
    <n v="1"/>
    <n v="120"/>
    <n v="0"/>
    <n v="0"/>
    <n v="0"/>
    <x v="128"/>
  </r>
  <r>
    <x v="185"/>
    <s v="track"/>
    <n v="5"/>
    <n v="514.77"/>
    <n v="199.96"/>
    <n v="0"/>
    <n v="29.98"/>
    <x v="129"/>
  </r>
  <r>
    <x v="186"/>
    <s v="track"/>
    <n v="1"/>
    <n v="0"/>
    <n v="34.950000000000003"/>
    <n v="0"/>
    <n v="0"/>
    <x v="4"/>
  </r>
  <r>
    <x v="187"/>
    <s v="track"/>
    <n v="1"/>
    <n v="34.950000000000003"/>
    <n v="0"/>
    <n v="0"/>
    <n v="0"/>
    <x v="113"/>
  </r>
  <r>
    <x v="188"/>
    <s v="track"/>
    <n v="3"/>
    <n v="125.85"/>
    <n v="0"/>
    <n v="0"/>
    <n v="6"/>
    <x v="130"/>
  </r>
  <r>
    <x v="189"/>
    <s v="track"/>
    <n v="4"/>
    <n v="165.81"/>
    <n v="24.98"/>
    <n v="0"/>
    <n v="5.99"/>
    <x v="131"/>
  </r>
  <r>
    <x v="190"/>
    <s v="track"/>
    <n v="5"/>
    <n v="258.94"/>
    <n v="0"/>
    <n v="0"/>
    <n v="4.1900000000000004"/>
    <x v="132"/>
  </r>
  <r>
    <x v="191"/>
    <s v="track"/>
    <n v="1"/>
    <n v="49.97"/>
    <n v="49.98"/>
    <n v="0"/>
    <n v="0"/>
    <x v="86"/>
  </r>
  <r>
    <x v="192"/>
    <s v="track"/>
    <n v="2"/>
    <n v="199.95"/>
    <n v="99.95"/>
    <n v="0"/>
    <n v="0"/>
    <x v="80"/>
  </r>
  <r>
    <x v="193"/>
    <s v="track"/>
    <n v="1"/>
    <n v="37.06"/>
    <n v="0"/>
    <n v="17.48"/>
    <n v="2.1"/>
    <x v="27"/>
  </r>
  <r>
    <x v="194"/>
    <s v="track"/>
    <n v="2"/>
    <n v="26.21"/>
    <n v="58.69"/>
    <n v="0"/>
    <n v="0"/>
    <x v="133"/>
  </r>
  <r>
    <x v="195"/>
    <s v="track"/>
    <n v="1"/>
    <n v="34.96"/>
    <n v="0"/>
    <n v="17.48"/>
    <n v="0"/>
    <x v="27"/>
  </r>
  <r>
    <x v="196"/>
    <s v="track"/>
    <n v="1"/>
    <n v="49.95"/>
    <n v="0"/>
    <n v="0"/>
    <n v="0"/>
    <x v="74"/>
  </r>
  <r>
    <x v="197"/>
    <s v="track"/>
    <n v="1"/>
    <n v="400"/>
    <n v="0"/>
    <n v="0"/>
    <n v="0"/>
    <x v="134"/>
  </r>
  <r>
    <x v="151"/>
    <s v="negotiation-deal"/>
    <n v="1"/>
    <n v="1500"/>
    <n v="0"/>
    <n v="0"/>
    <n v="0"/>
    <x v="135"/>
  </r>
  <r>
    <x v="198"/>
    <s v="track"/>
    <n v="3"/>
    <n v="115.86"/>
    <n v="24.98"/>
    <n v="0"/>
    <n v="5.99"/>
    <x v="77"/>
  </r>
  <r>
    <x v="199"/>
    <s v="track"/>
    <n v="3"/>
    <n v="99.92"/>
    <n v="84.93"/>
    <n v="0"/>
    <n v="0"/>
    <x v="136"/>
  </r>
  <r>
    <x v="200"/>
    <s v="track"/>
    <n v="1"/>
    <n v="27.97"/>
    <n v="24.98"/>
    <n v="0"/>
    <n v="3"/>
    <x v="122"/>
  </r>
  <r>
    <x v="201"/>
    <s v="track"/>
    <n v="2"/>
    <n v="0"/>
    <n v="299.89999999999998"/>
    <n v="0"/>
    <n v="0"/>
    <x v="4"/>
  </r>
  <r>
    <x v="202"/>
    <s v="track"/>
    <n v="1"/>
    <n v="34.950000000000003"/>
    <n v="0"/>
    <n v="0"/>
    <n v="0"/>
    <x v="113"/>
  </r>
  <r>
    <x v="203"/>
    <s v="track"/>
    <n v="1"/>
    <n v="49.97"/>
    <n v="49.98"/>
    <n v="0"/>
    <n v="0"/>
    <x v="86"/>
  </r>
  <r>
    <x v="204"/>
    <s v="track"/>
    <n v="1"/>
    <n v="34.950000000000003"/>
    <n v="0"/>
    <n v="0"/>
    <n v="0"/>
    <x v="113"/>
  </r>
  <r>
    <x v="205"/>
    <s v="track"/>
    <n v="1"/>
    <n v="27.97"/>
    <n v="24.98"/>
    <n v="0"/>
    <n v="3"/>
    <x v="122"/>
  </r>
  <r>
    <x v="206"/>
    <s v="track"/>
    <n v="1"/>
    <n v="63.56"/>
    <n v="0"/>
    <n v="29.98"/>
    <n v="3.6"/>
    <x v="96"/>
  </r>
  <r>
    <x v="207"/>
    <s v="track"/>
    <n v="1"/>
    <n v="31.51"/>
    <n v="5.24"/>
    <n v="14.86"/>
    <n v="1.79"/>
    <x v="137"/>
  </r>
  <r>
    <x v="208"/>
    <s v="track"/>
    <n v="1"/>
    <n v="25"/>
    <n v="0"/>
    <n v="12.5"/>
    <n v="0"/>
    <x v="138"/>
  </r>
  <r>
    <x v="209"/>
    <s v="track"/>
    <n v="1"/>
    <n v="34.96"/>
    <n v="0"/>
    <n v="17.48"/>
    <n v="0"/>
    <x v="27"/>
  </r>
  <r>
    <x v="210"/>
    <s v="track"/>
    <n v="1"/>
    <n v="37.049999999999997"/>
    <n v="0"/>
    <n v="17.48"/>
    <n v="2.09"/>
    <x v="27"/>
  </r>
  <r>
    <x v="211"/>
    <s v="track"/>
    <n v="1"/>
    <n v="55.94"/>
    <n v="0"/>
    <n v="0"/>
    <n v="5.99"/>
    <x v="74"/>
  </r>
  <r>
    <x v="212"/>
    <s v="track"/>
    <n v="1"/>
    <n v="39.14"/>
    <n v="0"/>
    <n v="0"/>
    <n v="4.1900000000000004"/>
    <x v="113"/>
  </r>
  <r>
    <x v="213"/>
    <s v="track"/>
    <n v="1"/>
    <n v="41.96"/>
    <n v="12.49"/>
    <n v="0"/>
    <n v="4.5"/>
    <x v="139"/>
  </r>
  <r>
    <x v="214"/>
    <s v="track"/>
    <n v="1"/>
    <n v="26.21"/>
    <n v="8.74"/>
    <n v="0"/>
    <n v="0"/>
    <x v="133"/>
  </r>
  <r>
    <x v="215"/>
    <s v="track"/>
    <n v="1"/>
    <n v="39.14"/>
    <n v="0"/>
    <n v="0"/>
    <n v="4.1900000000000004"/>
    <x v="113"/>
  </r>
  <r>
    <x v="216"/>
    <s v="album"/>
    <n v="1"/>
    <n v="89.54"/>
    <n v="0"/>
    <n v="0"/>
    <n v="9.59"/>
    <x v="14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9" firstHeaderRow="1" firstDataRow="1" firstDataCol="1"/>
  <pivotFields count="8">
    <pivotField axis="axisRow" showAll="0" measureFilter="1" sortType="descending">
      <items count="218">
        <item x="14"/>
        <item x="66"/>
        <item x="165"/>
        <item x="18"/>
        <item x="179"/>
        <item x="173"/>
        <item x="54"/>
        <item x="160"/>
        <item x="127"/>
        <item x="77"/>
        <item x="117"/>
        <item x="9"/>
        <item x="81"/>
        <item x="185"/>
        <item x="131"/>
        <item x="178"/>
        <item x="162"/>
        <item x="46"/>
        <item x="216"/>
        <item x="126"/>
        <item x="208"/>
        <item x="83"/>
        <item x="171"/>
        <item x="33"/>
        <item x="91"/>
        <item x="87"/>
        <item x="148"/>
        <item x="53"/>
        <item x="28"/>
        <item x="57"/>
        <item x="93"/>
        <item x="207"/>
        <item x="88"/>
        <item x="47"/>
        <item x="86"/>
        <item x="73"/>
        <item x="107"/>
        <item x="29"/>
        <item x="115"/>
        <item x="58"/>
        <item x="120"/>
        <item x="84"/>
        <item x="69"/>
        <item x="71"/>
        <item x="198"/>
        <item x="213"/>
        <item x="97"/>
        <item x="168"/>
        <item x="99"/>
        <item x="62"/>
        <item x="209"/>
        <item x="191"/>
        <item x="150"/>
        <item x="153"/>
        <item x="143"/>
        <item x="122"/>
        <item x="196"/>
        <item x="133"/>
        <item x="22"/>
        <item x="210"/>
        <item x="60"/>
        <item x="94"/>
        <item x="12"/>
        <item x="90"/>
        <item x="190"/>
        <item x="155"/>
        <item x="40"/>
        <item x="129"/>
        <item x="17"/>
        <item x="212"/>
        <item x="4"/>
        <item x="211"/>
        <item x="49"/>
        <item x="64"/>
        <item x="146"/>
        <item x="182"/>
        <item x="11"/>
        <item x="72"/>
        <item x="186"/>
        <item x="76"/>
        <item x="74"/>
        <item x="139"/>
        <item x="104"/>
        <item x="138"/>
        <item x="118"/>
        <item x="197"/>
        <item x="56"/>
        <item x="135"/>
        <item x="52"/>
        <item x="144"/>
        <item x="21"/>
        <item x="167"/>
        <item x="184"/>
        <item x="187"/>
        <item x="98"/>
        <item x="108"/>
        <item x="42"/>
        <item x="142"/>
        <item x="112"/>
        <item x="147"/>
        <item x="172"/>
        <item x="201"/>
        <item x="109"/>
        <item x="100"/>
        <item x="19"/>
        <item x="180"/>
        <item x="25"/>
        <item x="125"/>
        <item x="8"/>
        <item x="67"/>
        <item x="27"/>
        <item x="202"/>
        <item x="102"/>
        <item x="199"/>
        <item x="70"/>
        <item x="30"/>
        <item x="3"/>
        <item x="149"/>
        <item x="194"/>
        <item x="55"/>
        <item x="103"/>
        <item x="44"/>
        <item x="134"/>
        <item x="16"/>
        <item x="151"/>
        <item x="24"/>
        <item x="154"/>
        <item x="41"/>
        <item x="85"/>
        <item x="110"/>
        <item x="5"/>
        <item x="156"/>
        <item x="20"/>
        <item x="89"/>
        <item x="95"/>
        <item x="157"/>
        <item x="177"/>
        <item x="175"/>
        <item x="101"/>
        <item x="35"/>
        <item x="166"/>
        <item x="39"/>
        <item x="183"/>
        <item x="152"/>
        <item x="158"/>
        <item x="128"/>
        <item x="79"/>
        <item x="10"/>
        <item x="23"/>
        <item x="215"/>
        <item x="136"/>
        <item x="203"/>
        <item x="170"/>
        <item x="205"/>
        <item x="140"/>
        <item x="164"/>
        <item x="43"/>
        <item x="37"/>
        <item x="161"/>
        <item x="111"/>
        <item x="123"/>
        <item x="45"/>
        <item x="0"/>
        <item x="32"/>
        <item x="65"/>
        <item x="169"/>
        <item x="174"/>
        <item x="63"/>
        <item x="192"/>
        <item x="124"/>
        <item x="61"/>
        <item x="130"/>
        <item x="116"/>
        <item x="176"/>
        <item x="193"/>
        <item x="34"/>
        <item x="200"/>
        <item x="82"/>
        <item x="31"/>
        <item x="26"/>
        <item x="163"/>
        <item x="96"/>
        <item x="75"/>
        <item x="141"/>
        <item x="188"/>
        <item x="38"/>
        <item x="80"/>
        <item x="132"/>
        <item x="48"/>
        <item x="15"/>
        <item x="113"/>
        <item x="195"/>
        <item x="78"/>
        <item x="68"/>
        <item x="36"/>
        <item x="13"/>
        <item x="50"/>
        <item x="214"/>
        <item x="114"/>
        <item x="7"/>
        <item x="121"/>
        <item x="206"/>
        <item x="189"/>
        <item x="119"/>
        <item x="106"/>
        <item x="137"/>
        <item x="51"/>
        <item x="105"/>
        <item x="204"/>
        <item x="159"/>
        <item x="145"/>
        <item x="181"/>
        <item x="59"/>
        <item x="1"/>
        <item x="92"/>
        <item x="6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dataField="1" numFmtId="44" showAll="0">
      <items count="142">
        <item x="4"/>
        <item x="51"/>
        <item x="93"/>
        <item x="138"/>
        <item x="65"/>
        <item x="137"/>
        <item x="73"/>
        <item x="69"/>
        <item x="27"/>
        <item x="53"/>
        <item x="72"/>
        <item x="41"/>
        <item x="102"/>
        <item x="90"/>
        <item x="122"/>
        <item x="63"/>
        <item x="133"/>
        <item x="115"/>
        <item x="88"/>
        <item x="101"/>
        <item x="59"/>
        <item x="96"/>
        <item x="11"/>
        <item x="113"/>
        <item x="105"/>
        <item x="35"/>
        <item x="139"/>
        <item x="45"/>
        <item x="85"/>
        <item x="12"/>
        <item x="31"/>
        <item x="62"/>
        <item x="33"/>
        <item x="87"/>
        <item x="43"/>
        <item x="74"/>
        <item x="86"/>
        <item x="18"/>
        <item x="5"/>
        <item x="112"/>
        <item x="64"/>
        <item x="58"/>
        <item x="67"/>
        <item x="97"/>
        <item x="37"/>
        <item x="10"/>
        <item x="111"/>
        <item x="50"/>
        <item x="83"/>
        <item x="94"/>
        <item x="121"/>
        <item x="36"/>
        <item x="92"/>
        <item x="7"/>
        <item x="120"/>
        <item x="89"/>
        <item x="49"/>
        <item x="100"/>
        <item x="71"/>
        <item x="76"/>
        <item x="140"/>
        <item x="25"/>
        <item x="2"/>
        <item x="68"/>
        <item x="24"/>
        <item x="118"/>
        <item x="13"/>
        <item x="70"/>
        <item x="136"/>
        <item x="108"/>
        <item x="55"/>
        <item x="109"/>
        <item x="77"/>
        <item x="78"/>
        <item x="75"/>
        <item x="52"/>
        <item x="54"/>
        <item x="130"/>
        <item x="128"/>
        <item x="99"/>
        <item x="19"/>
        <item x="28"/>
        <item x="114"/>
        <item x="98"/>
        <item x="103"/>
        <item x="110"/>
        <item x="16"/>
        <item x="126"/>
        <item x="34"/>
        <item x="104"/>
        <item x="48"/>
        <item x="131"/>
        <item x="17"/>
        <item x="123"/>
        <item x="84"/>
        <item x="40"/>
        <item x="66"/>
        <item x="47"/>
        <item x="124"/>
        <item x="9"/>
        <item x="61"/>
        <item x="80"/>
        <item x="82"/>
        <item x="95"/>
        <item x="107"/>
        <item x="132"/>
        <item x="119"/>
        <item x="15"/>
        <item x="39"/>
        <item x="20"/>
        <item x="30"/>
        <item x="46"/>
        <item x="44"/>
        <item x="22"/>
        <item x="79"/>
        <item x="127"/>
        <item x="60"/>
        <item x="6"/>
        <item x="26"/>
        <item x="57"/>
        <item x="32"/>
        <item x="134"/>
        <item x="106"/>
        <item x="56"/>
        <item x="42"/>
        <item x="21"/>
        <item x="29"/>
        <item x="129"/>
        <item x="125"/>
        <item x="23"/>
        <item x="8"/>
        <item x="81"/>
        <item x="116"/>
        <item x="38"/>
        <item x="1"/>
        <item x="91"/>
        <item x="117"/>
        <item x="14"/>
        <item x="135"/>
        <item x="3"/>
        <item x="0"/>
        <item t="default"/>
      </items>
    </pivotField>
  </pivotFields>
  <rowFields count="1">
    <field x="0"/>
  </rowFields>
  <rowItems count="6">
    <i>
      <x v="162"/>
    </i>
    <i>
      <x v="124"/>
    </i>
    <i>
      <x v="116"/>
    </i>
    <i>
      <x v="3"/>
    </i>
    <i>
      <x v="171"/>
    </i>
    <i t="grand">
      <x/>
    </i>
  </rowItems>
  <colItems count="1">
    <i/>
  </colItems>
  <dataFields count="1">
    <dataField name="Sum of Net" fld="7" baseField="0" baseItem="0"/>
  </dataFields>
  <chartFormats count="1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2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24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16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7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13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96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78"/>
          </reference>
        </references>
      </pivotArea>
    </chartFormat>
  </chartFormats>
  <pivotTableStyleInfo name="PivotStyleLight17" showRowHeaders="1" showColHeaders="1" showRowStripes="0" showColStripes="0" showLastColumn="1"/>
  <filters count="1">
    <filter fld="0" type="count" evalOrder="-1" id="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4:G5" totalsRowShown="0" headerRowDxfId="1">
  <autoFilter ref="A4:G5"/>
  <tableColumns count="7">
    <tableColumn id="1" name="Items Sold" dataDxfId="2"/>
    <tableColumn id="2" name="Gross" dataCellStyle="Currency"/>
    <tableColumn id="3" name="Discounts" dataDxfId="0" dataCellStyle="Currency"/>
    <tableColumn id="4" name="Collab %" dataCellStyle="Currency"/>
    <tableColumn id="5" name="BeatStars %" dataCellStyle="Currency"/>
    <tableColumn id="6" name="Net Sales" dataCellStyle="Currency"/>
    <tableColumn id="7" name="Collab Sales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1"/>
  <sheetViews>
    <sheetView tabSelected="1" zoomScale="120" zoomScaleNormal="120" workbookViewId="0">
      <selection activeCell="K27" sqref="K27"/>
    </sheetView>
  </sheetViews>
  <sheetFormatPr baseColWidth="10" defaultRowHeight="16" x14ac:dyDescent="0.2"/>
  <cols>
    <col min="1" max="1" width="54.6640625" bestFit="1" customWidth="1"/>
    <col min="2" max="2" width="14.6640625" bestFit="1" customWidth="1"/>
    <col min="3" max="3" width="14.5" style="2" customWidth="1"/>
    <col min="4" max="4" width="12.83203125" style="1" bestFit="1" customWidth="1"/>
    <col min="5" max="5" width="14.5" style="1" customWidth="1"/>
    <col min="6" max="6" width="11.5" style="1" bestFit="1" customWidth="1"/>
    <col min="7" max="7" width="13.5" style="1" bestFit="1" customWidth="1"/>
    <col min="8" max="8" width="11.5" style="1" bestFit="1" customWidth="1"/>
    <col min="9" max="9" width="12.5" customWidth="1"/>
    <col min="10" max="10" width="20.5" bestFit="1" customWidth="1"/>
    <col min="11" max="11" width="48.83203125" bestFit="1" customWidth="1"/>
  </cols>
  <sheetData>
    <row r="1" spans="1:11" x14ac:dyDescent="0.2">
      <c r="A1" s="10" t="s">
        <v>0</v>
      </c>
    </row>
    <row r="2" spans="1:11" x14ac:dyDescent="0.2">
      <c r="A2" s="10" t="s">
        <v>1</v>
      </c>
    </row>
    <row r="4" spans="1:11" x14ac:dyDescent="0.2">
      <c r="A4" s="3" t="s">
        <v>2</v>
      </c>
      <c r="B4" s="3" t="s">
        <v>3</v>
      </c>
      <c r="C4" s="4" t="s">
        <v>4</v>
      </c>
      <c r="D4" s="6" t="s">
        <v>5</v>
      </c>
      <c r="E4" s="6" t="s">
        <v>6</v>
      </c>
      <c r="F4" s="6" t="s">
        <v>7</v>
      </c>
      <c r="G4" s="6" t="s">
        <v>8</v>
      </c>
    </row>
    <row r="5" spans="1:11" x14ac:dyDescent="0.2">
      <c r="A5" s="2">
        <v>849</v>
      </c>
      <c r="B5" s="1">
        <v>58359.16</v>
      </c>
      <c r="C5" s="5">
        <v>10737.37</v>
      </c>
      <c r="D5" s="1">
        <v>2275.66</v>
      </c>
      <c r="E5" s="1">
        <v>2640.91</v>
      </c>
      <c r="F5" s="1">
        <v>42705.63</v>
      </c>
      <c r="G5" s="1">
        <v>644.78</v>
      </c>
    </row>
    <row r="7" spans="1:11" x14ac:dyDescent="0.2">
      <c r="A7" s="7" t="s">
        <v>9</v>
      </c>
      <c r="B7" s="7" t="s">
        <v>10</v>
      </c>
      <c r="C7" s="8" t="s">
        <v>11</v>
      </c>
      <c r="D7" s="9" t="s">
        <v>12</v>
      </c>
      <c r="E7" s="9" t="s">
        <v>4</v>
      </c>
      <c r="F7" s="9" t="s">
        <v>5</v>
      </c>
      <c r="G7" s="9" t="s">
        <v>6</v>
      </c>
      <c r="H7" s="9" t="s">
        <v>13</v>
      </c>
      <c r="J7" s="12" t="s">
        <v>234</v>
      </c>
      <c r="K7" s="9" t="s">
        <v>238</v>
      </c>
    </row>
    <row r="8" spans="1:11" x14ac:dyDescent="0.2">
      <c r="A8" t="s">
        <v>14</v>
      </c>
      <c r="B8" t="s">
        <v>15</v>
      </c>
      <c r="C8" s="2">
        <v>185</v>
      </c>
      <c r="D8" s="1">
        <v>11956.31</v>
      </c>
      <c r="E8" s="1">
        <v>992.32</v>
      </c>
      <c r="F8" s="1">
        <v>0</v>
      </c>
      <c r="G8" s="1">
        <v>1085.6400000000001</v>
      </c>
      <c r="H8" s="1">
        <v>10870.67</v>
      </c>
      <c r="I8" s="11"/>
      <c r="J8" s="13">
        <f>SUM(H8:H231)</f>
        <v>43350.409999999967</v>
      </c>
      <c r="K8" s="17">
        <f>AVERAGE(C8:C231)</f>
        <v>3.8794642857142856</v>
      </c>
    </row>
    <row r="9" spans="1:11" x14ac:dyDescent="0.2">
      <c r="A9" t="s">
        <v>18</v>
      </c>
      <c r="B9" t="s">
        <v>15</v>
      </c>
      <c r="C9" s="2">
        <v>56</v>
      </c>
      <c r="D9" s="1">
        <v>3184.72</v>
      </c>
      <c r="E9" s="1">
        <v>212.86</v>
      </c>
      <c r="F9" s="1">
        <v>0</v>
      </c>
      <c r="G9" s="1">
        <v>154.54</v>
      </c>
      <c r="H9" s="1">
        <v>3030.18</v>
      </c>
    </row>
    <row r="10" spans="1:11" x14ac:dyDescent="0.2">
      <c r="A10" t="s">
        <v>147</v>
      </c>
      <c r="B10" t="s">
        <v>15</v>
      </c>
      <c r="C10" s="2">
        <v>33</v>
      </c>
      <c r="D10" s="1">
        <v>1905.51</v>
      </c>
      <c r="E10" s="1">
        <v>288.12</v>
      </c>
      <c r="F10" s="1">
        <v>920.21</v>
      </c>
      <c r="G10" s="1">
        <v>65.180000000000007</v>
      </c>
      <c r="H10" s="1">
        <v>920.12</v>
      </c>
    </row>
    <row r="11" spans="1:11" x14ac:dyDescent="0.2">
      <c r="A11" t="s">
        <v>33</v>
      </c>
      <c r="B11" t="s">
        <v>15</v>
      </c>
      <c r="C11" s="2">
        <v>29</v>
      </c>
      <c r="D11" s="1">
        <v>1385.46</v>
      </c>
      <c r="E11" s="1">
        <v>223.94</v>
      </c>
      <c r="F11" s="1">
        <v>0</v>
      </c>
      <c r="G11" s="1">
        <v>30.55</v>
      </c>
      <c r="H11" s="1">
        <v>1354.91</v>
      </c>
    </row>
    <row r="12" spans="1:11" x14ac:dyDescent="0.2">
      <c r="A12" t="s">
        <v>16</v>
      </c>
      <c r="B12" t="s">
        <v>15</v>
      </c>
      <c r="C12" s="2">
        <v>22</v>
      </c>
      <c r="D12" s="1">
        <v>879.55</v>
      </c>
      <c r="E12" s="1">
        <v>143.88999999999999</v>
      </c>
      <c r="F12" s="1">
        <v>0</v>
      </c>
      <c r="G12" s="1">
        <v>94.22</v>
      </c>
      <c r="H12" s="1">
        <v>785.33</v>
      </c>
      <c r="J12" s="8" t="s">
        <v>239</v>
      </c>
    </row>
    <row r="13" spans="1:11" x14ac:dyDescent="0.2">
      <c r="A13" t="s">
        <v>67</v>
      </c>
      <c r="B13" t="s">
        <v>15</v>
      </c>
      <c r="C13" s="2">
        <v>18</v>
      </c>
      <c r="D13" s="1">
        <v>1086.79</v>
      </c>
      <c r="E13" s="1">
        <v>147.44</v>
      </c>
      <c r="F13" s="1">
        <v>309.64</v>
      </c>
      <c r="G13" s="1">
        <v>54.78</v>
      </c>
      <c r="H13" s="1">
        <v>722.37</v>
      </c>
      <c r="J13" s="11">
        <f>SUM(F8:F231)</f>
        <v>2920.4600000000005</v>
      </c>
    </row>
    <row r="14" spans="1:11" x14ac:dyDescent="0.2">
      <c r="A14" t="s">
        <v>75</v>
      </c>
      <c r="B14" t="s">
        <v>15</v>
      </c>
      <c r="C14" s="2">
        <v>13</v>
      </c>
      <c r="D14" s="1">
        <v>308.17</v>
      </c>
      <c r="E14" s="1">
        <v>134.88999999999999</v>
      </c>
      <c r="F14" s="1">
        <v>0</v>
      </c>
      <c r="G14" s="1">
        <v>8.39</v>
      </c>
      <c r="H14" s="1">
        <v>299.77999999999997</v>
      </c>
    </row>
    <row r="15" spans="1:11" x14ac:dyDescent="0.2">
      <c r="A15" t="s">
        <v>70</v>
      </c>
      <c r="B15" t="s">
        <v>15</v>
      </c>
      <c r="C15" s="2">
        <v>12</v>
      </c>
      <c r="D15" s="1">
        <v>522.38</v>
      </c>
      <c r="E15" s="1">
        <v>84.98</v>
      </c>
      <c r="F15" s="1">
        <v>343.02</v>
      </c>
      <c r="G15" s="1">
        <v>2.65</v>
      </c>
      <c r="H15" s="1">
        <v>176.71</v>
      </c>
    </row>
    <row r="16" spans="1:11" x14ac:dyDescent="0.2">
      <c r="A16" t="s">
        <v>73</v>
      </c>
      <c r="B16" t="s">
        <v>15</v>
      </c>
      <c r="C16" s="2">
        <v>12</v>
      </c>
      <c r="D16" s="1">
        <v>485.97</v>
      </c>
      <c r="E16" s="1">
        <v>304.86</v>
      </c>
      <c r="F16" s="1">
        <v>0</v>
      </c>
      <c r="G16" s="1">
        <v>41.35</v>
      </c>
      <c r="H16" s="1">
        <v>444.62</v>
      </c>
    </row>
    <row r="17" spans="1:11" x14ac:dyDescent="0.2">
      <c r="A17" t="s">
        <v>42</v>
      </c>
      <c r="B17" t="s">
        <v>15</v>
      </c>
      <c r="C17" s="2">
        <v>10</v>
      </c>
      <c r="D17" s="1">
        <v>307.77</v>
      </c>
      <c r="E17" s="1">
        <v>94.92</v>
      </c>
      <c r="F17" s="1">
        <v>29.5</v>
      </c>
      <c r="G17" s="1">
        <v>12.96</v>
      </c>
      <c r="H17" s="1">
        <v>265.31</v>
      </c>
    </row>
    <row r="18" spans="1:11" x14ac:dyDescent="0.2">
      <c r="A18" t="s">
        <v>96</v>
      </c>
      <c r="B18" t="s">
        <v>15</v>
      </c>
      <c r="C18" s="2">
        <v>10</v>
      </c>
      <c r="D18" s="1">
        <v>430.21</v>
      </c>
      <c r="E18" s="1">
        <v>74.95</v>
      </c>
      <c r="F18" s="1">
        <v>0</v>
      </c>
      <c r="G18" s="1">
        <v>15.58</v>
      </c>
      <c r="H18" s="1">
        <v>414.63</v>
      </c>
    </row>
    <row r="19" spans="1:11" x14ac:dyDescent="0.2">
      <c r="A19" t="s">
        <v>24</v>
      </c>
      <c r="B19" t="s">
        <v>15</v>
      </c>
      <c r="C19" s="2">
        <v>9</v>
      </c>
      <c r="D19" s="1">
        <v>590.21</v>
      </c>
      <c r="E19" s="1">
        <v>88.95</v>
      </c>
      <c r="F19" s="1">
        <v>0</v>
      </c>
      <c r="G19" s="1">
        <v>14.4</v>
      </c>
      <c r="H19" s="1">
        <v>575.80999999999995</v>
      </c>
      <c r="K19" s="19" t="s">
        <v>243</v>
      </c>
    </row>
    <row r="20" spans="1:11" x14ac:dyDescent="0.2">
      <c r="A20" t="s">
        <v>43</v>
      </c>
      <c r="B20" t="s">
        <v>15</v>
      </c>
      <c r="C20" s="2">
        <v>9</v>
      </c>
      <c r="D20" s="1">
        <v>474.11</v>
      </c>
      <c r="E20" s="1">
        <v>34.979999999999997</v>
      </c>
      <c r="F20" s="1">
        <v>0</v>
      </c>
      <c r="G20" s="1">
        <v>29.38</v>
      </c>
      <c r="H20" s="1">
        <v>444.73</v>
      </c>
      <c r="K20" s="18" t="s">
        <v>240</v>
      </c>
    </row>
    <row r="21" spans="1:11" x14ac:dyDescent="0.2">
      <c r="A21" t="s">
        <v>45</v>
      </c>
      <c r="B21" t="s">
        <v>15</v>
      </c>
      <c r="C21" s="2">
        <v>9</v>
      </c>
      <c r="D21" s="1">
        <v>320.11</v>
      </c>
      <c r="E21" s="1">
        <v>47.99</v>
      </c>
      <c r="F21" s="1">
        <v>0</v>
      </c>
      <c r="G21" s="1">
        <v>18.23</v>
      </c>
      <c r="H21" s="1">
        <v>301.88</v>
      </c>
      <c r="K21" s="18" t="s">
        <v>241</v>
      </c>
    </row>
    <row r="22" spans="1:11" x14ac:dyDescent="0.2">
      <c r="A22" t="s">
        <v>54</v>
      </c>
      <c r="B22" t="s">
        <v>15</v>
      </c>
      <c r="C22" s="2">
        <v>8</v>
      </c>
      <c r="D22" s="1">
        <v>388.28</v>
      </c>
      <c r="E22" s="1">
        <v>14.98</v>
      </c>
      <c r="F22" s="1">
        <v>0</v>
      </c>
      <c r="G22" s="1">
        <v>33.58</v>
      </c>
      <c r="H22" s="1">
        <v>354.7</v>
      </c>
      <c r="K22" s="18" t="s">
        <v>242</v>
      </c>
    </row>
    <row r="23" spans="1:11" x14ac:dyDescent="0.2">
      <c r="A23" t="s">
        <v>60</v>
      </c>
      <c r="B23" t="s">
        <v>15</v>
      </c>
      <c r="C23" s="2">
        <v>8</v>
      </c>
      <c r="D23" s="1">
        <v>429.78</v>
      </c>
      <c r="E23" s="1">
        <v>110.96</v>
      </c>
      <c r="F23" s="1">
        <v>0</v>
      </c>
      <c r="G23" s="1">
        <v>35.979999999999997</v>
      </c>
      <c r="H23" s="1">
        <v>393.8</v>
      </c>
    </row>
    <row r="24" spans="1:11" x14ac:dyDescent="0.2">
      <c r="A24" t="s">
        <v>173</v>
      </c>
      <c r="B24" t="s">
        <v>15</v>
      </c>
      <c r="C24" s="2">
        <v>8</v>
      </c>
      <c r="D24" s="1">
        <v>425.5</v>
      </c>
      <c r="E24" s="1">
        <v>157.66999999999999</v>
      </c>
      <c r="F24" s="1">
        <v>0</v>
      </c>
      <c r="G24" s="1">
        <v>18.57</v>
      </c>
      <c r="H24" s="1">
        <v>406.93</v>
      </c>
    </row>
    <row r="25" spans="1:11" x14ac:dyDescent="0.2">
      <c r="A25" t="s">
        <v>191</v>
      </c>
      <c r="B25" t="s">
        <v>15</v>
      </c>
      <c r="C25" s="2">
        <v>8</v>
      </c>
      <c r="D25" s="1">
        <v>259.33</v>
      </c>
      <c r="E25" s="1">
        <v>317.36</v>
      </c>
      <c r="F25" s="1">
        <v>0</v>
      </c>
      <c r="G25" s="1">
        <v>2.09</v>
      </c>
      <c r="H25" s="1">
        <v>257.24</v>
      </c>
    </row>
    <row r="26" spans="1:11" x14ac:dyDescent="0.2">
      <c r="A26" t="s">
        <v>22</v>
      </c>
      <c r="B26" t="s">
        <v>15</v>
      </c>
      <c r="C26" s="2">
        <v>7</v>
      </c>
      <c r="D26" s="1">
        <v>395.22</v>
      </c>
      <c r="E26" s="1">
        <v>79.97</v>
      </c>
      <c r="F26" s="1">
        <v>39</v>
      </c>
      <c r="G26" s="1">
        <v>5.39</v>
      </c>
      <c r="H26" s="1">
        <v>350.83</v>
      </c>
    </row>
    <row r="27" spans="1:11" x14ac:dyDescent="0.2">
      <c r="A27" t="s">
        <v>130</v>
      </c>
      <c r="B27" t="s">
        <v>15</v>
      </c>
      <c r="C27" s="2">
        <v>7</v>
      </c>
      <c r="D27" s="1">
        <v>324.88</v>
      </c>
      <c r="E27" s="1">
        <v>199.95</v>
      </c>
      <c r="F27" s="1">
        <v>0</v>
      </c>
      <c r="G27" s="1">
        <v>10.18</v>
      </c>
      <c r="H27" s="1">
        <v>314.7</v>
      </c>
    </row>
    <row r="28" spans="1:11" x14ac:dyDescent="0.2">
      <c r="A28" t="s">
        <v>25</v>
      </c>
      <c r="B28" t="s">
        <v>15</v>
      </c>
      <c r="C28" s="2">
        <v>6</v>
      </c>
      <c r="D28" s="1">
        <v>222.16</v>
      </c>
      <c r="E28" s="1">
        <v>30.98</v>
      </c>
      <c r="F28" s="1">
        <v>21.9</v>
      </c>
      <c r="G28" s="1">
        <v>3.24</v>
      </c>
      <c r="H28" s="1">
        <v>197.02</v>
      </c>
    </row>
    <row r="29" spans="1:11" x14ac:dyDescent="0.2">
      <c r="A29" t="s">
        <v>36</v>
      </c>
      <c r="B29" t="s">
        <v>15</v>
      </c>
      <c r="C29" s="2">
        <v>6</v>
      </c>
      <c r="D29" s="1">
        <v>273.25</v>
      </c>
      <c r="E29" s="1">
        <v>95.97</v>
      </c>
      <c r="F29" s="1">
        <v>0</v>
      </c>
      <c r="G29" s="1">
        <v>14.4</v>
      </c>
      <c r="H29" s="1">
        <v>258.85000000000002</v>
      </c>
    </row>
    <row r="30" spans="1:11" x14ac:dyDescent="0.2">
      <c r="A30" t="s">
        <v>132</v>
      </c>
      <c r="B30" t="s">
        <v>15</v>
      </c>
      <c r="C30" s="2">
        <v>6</v>
      </c>
      <c r="D30" s="1">
        <v>579.75</v>
      </c>
      <c r="E30" s="1">
        <v>29.95</v>
      </c>
      <c r="F30" s="1">
        <v>0</v>
      </c>
      <c r="G30" s="1">
        <v>0</v>
      </c>
      <c r="H30" s="1">
        <v>579.75</v>
      </c>
    </row>
    <row r="31" spans="1:11" x14ac:dyDescent="0.2">
      <c r="A31" t="s">
        <v>139</v>
      </c>
      <c r="B31" t="s">
        <v>15</v>
      </c>
      <c r="C31" s="2">
        <v>6</v>
      </c>
      <c r="D31" s="1">
        <v>193.99</v>
      </c>
      <c r="E31" s="1">
        <v>244.88</v>
      </c>
      <c r="F31" s="1">
        <v>0</v>
      </c>
      <c r="G31" s="1">
        <v>19.170000000000002</v>
      </c>
      <c r="H31" s="1">
        <v>174.82</v>
      </c>
    </row>
    <row r="32" spans="1:11" x14ac:dyDescent="0.2">
      <c r="A32" t="s">
        <v>37</v>
      </c>
      <c r="B32" t="s">
        <v>15</v>
      </c>
      <c r="C32" s="2">
        <v>5</v>
      </c>
      <c r="D32" s="1">
        <v>163.09</v>
      </c>
      <c r="E32" s="1">
        <v>79.97</v>
      </c>
      <c r="F32" s="1">
        <v>0</v>
      </c>
      <c r="G32" s="1">
        <v>13.19</v>
      </c>
      <c r="H32" s="1">
        <v>149.9</v>
      </c>
    </row>
    <row r="33" spans="1:8" x14ac:dyDescent="0.2">
      <c r="A33" t="s">
        <v>38</v>
      </c>
      <c r="B33" t="s">
        <v>15</v>
      </c>
      <c r="C33" s="2">
        <v>5</v>
      </c>
      <c r="D33" s="1">
        <v>325.83</v>
      </c>
      <c r="E33" s="1">
        <v>0</v>
      </c>
      <c r="F33" s="1">
        <v>159.91999999999999</v>
      </c>
      <c r="G33" s="1">
        <v>5.99</v>
      </c>
      <c r="H33" s="1">
        <v>159.91999999999999</v>
      </c>
    </row>
    <row r="34" spans="1:8" x14ac:dyDescent="0.2">
      <c r="A34" t="s">
        <v>62</v>
      </c>
      <c r="B34" t="s">
        <v>63</v>
      </c>
      <c r="C34" s="2">
        <v>5</v>
      </c>
      <c r="D34" s="1">
        <v>167.95</v>
      </c>
      <c r="E34" s="1">
        <v>0</v>
      </c>
      <c r="F34" s="1">
        <v>0</v>
      </c>
      <c r="G34" s="1">
        <v>18</v>
      </c>
      <c r="H34" s="1">
        <v>149.94999999999999</v>
      </c>
    </row>
    <row r="35" spans="1:8" x14ac:dyDescent="0.2">
      <c r="A35" t="s">
        <v>81</v>
      </c>
      <c r="B35" t="s">
        <v>15</v>
      </c>
      <c r="C35" s="2">
        <v>5</v>
      </c>
      <c r="D35" s="1">
        <v>317.45999999999998</v>
      </c>
      <c r="E35" s="1">
        <v>39.99</v>
      </c>
      <c r="F35" s="1">
        <v>0</v>
      </c>
      <c r="G35" s="1">
        <v>27.58</v>
      </c>
      <c r="H35" s="1">
        <v>289.88</v>
      </c>
    </row>
    <row r="36" spans="1:8" x14ac:dyDescent="0.2">
      <c r="A36" t="s">
        <v>103</v>
      </c>
      <c r="B36" t="s">
        <v>15</v>
      </c>
      <c r="C36" s="2">
        <v>5</v>
      </c>
      <c r="D36" s="1">
        <v>344.35</v>
      </c>
      <c r="E36" s="1">
        <v>24.98</v>
      </c>
      <c r="F36" s="1">
        <v>0</v>
      </c>
      <c r="G36" s="1">
        <v>9.58</v>
      </c>
      <c r="H36" s="1">
        <v>334.77</v>
      </c>
    </row>
    <row r="37" spans="1:8" x14ac:dyDescent="0.2">
      <c r="A37" t="s">
        <v>129</v>
      </c>
      <c r="B37" t="s">
        <v>15</v>
      </c>
      <c r="C37" s="2">
        <v>5</v>
      </c>
      <c r="D37" s="1">
        <v>120.99</v>
      </c>
      <c r="E37" s="1">
        <v>35.94</v>
      </c>
      <c r="F37" s="1">
        <v>0</v>
      </c>
      <c r="G37" s="1">
        <v>7.18</v>
      </c>
      <c r="H37" s="1">
        <v>113.81</v>
      </c>
    </row>
    <row r="38" spans="1:8" x14ac:dyDescent="0.2">
      <c r="A38" t="s">
        <v>202</v>
      </c>
      <c r="B38" t="s">
        <v>15</v>
      </c>
      <c r="C38" s="2">
        <v>5</v>
      </c>
      <c r="D38" s="1">
        <v>514.77</v>
      </c>
      <c r="E38" s="1">
        <v>199.96</v>
      </c>
      <c r="F38" s="1">
        <v>0</v>
      </c>
      <c r="G38" s="1">
        <v>29.98</v>
      </c>
      <c r="H38" s="1">
        <v>484.79</v>
      </c>
    </row>
    <row r="39" spans="1:8" x14ac:dyDescent="0.2">
      <c r="A39" t="s">
        <v>207</v>
      </c>
      <c r="B39" t="s">
        <v>15</v>
      </c>
      <c r="C39" s="2">
        <v>5</v>
      </c>
      <c r="D39" s="1">
        <v>258.94</v>
      </c>
      <c r="E39" s="1">
        <v>0</v>
      </c>
      <c r="F39" s="1">
        <v>0</v>
      </c>
      <c r="G39" s="1">
        <v>4.1900000000000004</v>
      </c>
      <c r="H39" s="1">
        <v>254.75</v>
      </c>
    </row>
    <row r="40" spans="1:8" x14ac:dyDescent="0.2">
      <c r="A40" t="s">
        <v>57</v>
      </c>
      <c r="B40" t="s">
        <v>15</v>
      </c>
      <c r="C40" s="2">
        <v>4</v>
      </c>
      <c r="D40" s="1">
        <v>479.88</v>
      </c>
      <c r="E40" s="1">
        <v>0</v>
      </c>
      <c r="F40" s="1">
        <v>0</v>
      </c>
      <c r="G40" s="1">
        <v>0</v>
      </c>
      <c r="H40" s="1">
        <v>479.88</v>
      </c>
    </row>
    <row r="41" spans="1:8" x14ac:dyDescent="0.2">
      <c r="A41" t="s">
        <v>86</v>
      </c>
      <c r="B41" t="s">
        <v>15</v>
      </c>
      <c r="C41" s="2">
        <v>4</v>
      </c>
      <c r="D41" s="1">
        <v>152.91</v>
      </c>
      <c r="E41" s="1">
        <v>69.94</v>
      </c>
      <c r="F41" s="1">
        <v>74.959999999999994</v>
      </c>
      <c r="G41" s="1">
        <v>3</v>
      </c>
      <c r="H41" s="1">
        <v>74.95</v>
      </c>
    </row>
    <row r="42" spans="1:8" x14ac:dyDescent="0.2">
      <c r="A42" t="s">
        <v>93</v>
      </c>
      <c r="B42" t="s">
        <v>15</v>
      </c>
      <c r="C42" s="2">
        <v>4</v>
      </c>
      <c r="D42" s="1">
        <v>125.45</v>
      </c>
      <c r="E42" s="1">
        <v>37.479999999999997</v>
      </c>
      <c r="F42" s="1">
        <v>0</v>
      </c>
      <c r="G42" s="1">
        <v>8.09</v>
      </c>
      <c r="H42" s="1">
        <v>117.36</v>
      </c>
    </row>
    <row r="43" spans="1:8" x14ac:dyDescent="0.2">
      <c r="A43" t="s">
        <v>97</v>
      </c>
      <c r="B43" t="s">
        <v>15</v>
      </c>
      <c r="C43" s="2">
        <v>4</v>
      </c>
      <c r="D43" s="1">
        <v>389.45</v>
      </c>
      <c r="E43" s="1">
        <v>107.98</v>
      </c>
      <c r="F43" s="1">
        <v>0</v>
      </c>
      <c r="G43" s="1">
        <v>27.59</v>
      </c>
      <c r="H43" s="1">
        <v>361.86</v>
      </c>
    </row>
    <row r="44" spans="1:8" x14ac:dyDescent="0.2">
      <c r="A44" t="s">
        <v>111</v>
      </c>
      <c r="B44" t="s">
        <v>15</v>
      </c>
      <c r="C44" s="2">
        <v>4</v>
      </c>
      <c r="D44" s="1">
        <v>185.79</v>
      </c>
      <c r="E44" s="1">
        <v>0</v>
      </c>
      <c r="F44" s="1">
        <v>0</v>
      </c>
      <c r="G44" s="1">
        <v>5.99</v>
      </c>
      <c r="H44" s="1">
        <v>179.8</v>
      </c>
    </row>
    <row r="45" spans="1:8" x14ac:dyDescent="0.2">
      <c r="A45" t="s">
        <v>118</v>
      </c>
      <c r="B45" t="s">
        <v>15</v>
      </c>
      <c r="C45" s="2">
        <v>4</v>
      </c>
      <c r="D45" s="1">
        <v>78.89</v>
      </c>
      <c r="E45" s="1">
        <v>60.91</v>
      </c>
      <c r="F45" s="1">
        <v>0</v>
      </c>
      <c r="G45" s="1">
        <v>0</v>
      </c>
      <c r="H45" s="1">
        <v>78.89</v>
      </c>
    </row>
    <row r="46" spans="1:8" x14ac:dyDescent="0.2">
      <c r="A46" t="s">
        <v>151</v>
      </c>
      <c r="B46" t="s">
        <v>15</v>
      </c>
      <c r="C46" s="2">
        <v>4</v>
      </c>
      <c r="D46" s="1">
        <v>237.81</v>
      </c>
      <c r="E46" s="1">
        <v>37.47</v>
      </c>
      <c r="F46" s="1">
        <v>0</v>
      </c>
      <c r="G46" s="1">
        <v>25.48</v>
      </c>
      <c r="H46" s="1">
        <v>212.33</v>
      </c>
    </row>
    <row r="47" spans="1:8" x14ac:dyDescent="0.2">
      <c r="A47" t="s">
        <v>161</v>
      </c>
      <c r="B47" t="s">
        <v>15</v>
      </c>
      <c r="C47" s="2">
        <v>4</v>
      </c>
      <c r="D47" s="1">
        <v>139.71</v>
      </c>
      <c r="E47" s="1">
        <v>63.68</v>
      </c>
      <c r="F47" s="1">
        <v>0</v>
      </c>
      <c r="G47" s="1">
        <v>3.59</v>
      </c>
      <c r="H47" s="1">
        <v>136.12</v>
      </c>
    </row>
    <row r="48" spans="1:8" x14ac:dyDescent="0.2">
      <c r="A48" t="s">
        <v>177</v>
      </c>
      <c r="B48" t="s">
        <v>15</v>
      </c>
      <c r="C48" s="2">
        <v>4</v>
      </c>
      <c r="D48" s="1">
        <v>149.80000000000001</v>
      </c>
      <c r="E48" s="1">
        <v>0</v>
      </c>
      <c r="F48" s="1">
        <v>0</v>
      </c>
      <c r="G48" s="1">
        <v>0</v>
      </c>
      <c r="H48" s="1">
        <v>149.80000000000001</v>
      </c>
    </row>
    <row r="49" spans="1:8" x14ac:dyDescent="0.2">
      <c r="A49" t="s">
        <v>184</v>
      </c>
      <c r="B49" t="s">
        <v>15</v>
      </c>
      <c r="C49" s="2">
        <v>4</v>
      </c>
      <c r="D49" s="1">
        <v>139</v>
      </c>
      <c r="E49" s="1">
        <v>0</v>
      </c>
      <c r="F49" s="1">
        <v>0</v>
      </c>
      <c r="G49" s="1">
        <v>4.2</v>
      </c>
      <c r="H49" s="1">
        <v>134.80000000000001</v>
      </c>
    </row>
    <row r="50" spans="1:8" x14ac:dyDescent="0.2">
      <c r="A50" t="s">
        <v>196</v>
      </c>
      <c r="B50" t="s">
        <v>15</v>
      </c>
      <c r="C50" s="2">
        <v>4</v>
      </c>
      <c r="D50" s="1">
        <v>177.62</v>
      </c>
      <c r="E50" s="1">
        <v>42.47</v>
      </c>
      <c r="F50" s="1">
        <v>0</v>
      </c>
      <c r="G50" s="1">
        <v>15.29</v>
      </c>
      <c r="H50" s="1">
        <v>162.33000000000001</v>
      </c>
    </row>
    <row r="51" spans="1:8" x14ac:dyDescent="0.2">
      <c r="A51" t="s">
        <v>206</v>
      </c>
      <c r="B51" t="s">
        <v>15</v>
      </c>
      <c r="C51" s="2">
        <v>4</v>
      </c>
      <c r="D51" s="1">
        <v>165.81</v>
      </c>
      <c r="E51" s="1">
        <v>24.98</v>
      </c>
      <c r="F51" s="1">
        <v>0</v>
      </c>
      <c r="G51" s="1">
        <v>5.99</v>
      </c>
      <c r="H51" s="1">
        <v>159.82</v>
      </c>
    </row>
    <row r="52" spans="1:8" x14ac:dyDescent="0.2">
      <c r="A52" t="s">
        <v>23</v>
      </c>
      <c r="B52" t="s">
        <v>15</v>
      </c>
      <c r="C52" s="2">
        <v>3</v>
      </c>
      <c r="D52" s="1">
        <v>73.58</v>
      </c>
      <c r="E52" s="1">
        <v>29.95</v>
      </c>
      <c r="F52" s="1">
        <v>0</v>
      </c>
      <c r="G52" s="1">
        <v>3.6</v>
      </c>
      <c r="H52" s="1">
        <v>69.98</v>
      </c>
    </row>
    <row r="53" spans="1:8" x14ac:dyDescent="0.2">
      <c r="A53" t="s">
        <v>27</v>
      </c>
      <c r="B53" t="s">
        <v>15</v>
      </c>
      <c r="C53" s="2">
        <v>3</v>
      </c>
      <c r="D53" s="1">
        <v>65.819999999999993</v>
      </c>
      <c r="E53" s="1">
        <v>207.95</v>
      </c>
      <c r="F53" s="1">
        <v>0</v>
      </c>
      <c r="G53" s="1">
        <v>3.84</v>
      </c>
      <c r="H53" s="1">
        <v>61.98</v>
      </c>
    </row>
    <row r="54" spans="1:8" x14ac:dyDescent="0.2">
      <c r="A54" t="s">
        <v>28</v>
      </c>
      <c r="B54" t="s">
        <v>15</v>
      </c>
      <c r="C54" s="2">
        <v>3</v>
      </c>
      <c r="D54" s="1">
        <v>29.99</v>
      </c>
      <c r="E54" s="1">
        <v>129.94</v>
      </c>
      <c r="F54" s="1">
        <v>0</v>
      </c>
      <c r="G54" s="1">
        <v>0</v>
      </c>
      <c r="H54" s="1">
        <v>29.99</v>
      </c>
    </row>
    <row r="55" spans="1:8" x14ac:dyDescent="0.2">
      <c r="A55" t="s">
        <v>49</v>
      </c>
      <c r="B55" t="s">
        <v>15</v>
      </c>
      <c r="C55" s="2">
        <v>3</v>
      </c>
      <c r="D55" s="1">
        <v>99.97</v>
      </c>
      <c r="E55" s="1">
        <v>0</v>
      </c>
      <c r="F55" s="1">
        <v>10</v>
      </c>
      <c r="G55" s="1">
        <v>0</v>
      </c>
      <c r="H55" s="1">
        <v>89.97</v>
      </c>
    </row>
    <row r="56" spans="1:8" x14ac:dyDescent="0.2">
      <c r="A56" t="s">
        <v>53</v>
      </c>
      <c r="B56" t="s">
        <v>15</v>
      </c>
      <c r="C56" s="2">
        <v>3</v>
      </c>
      <c r="D56" s="1">
        <v>85.97</v>
      </c>
      <c r="E56" s="1">
        <v>20</v>
      </c>
      <c r="F56" s="1">
        <v>0</v>
      </c>
      <c r="G56" s="1">
        <v>6</v>
      </c>
      <c r="H56" s="1">
        <v>79.97</v>
      </c>
    </row>
    <row r="57" spans="1:8" x14ac:dyDescent="0.2">
      <c r="A57" t="s">
        <v>56</v>
      </c>
      <c r="B57" t="s">
        <v>15</v>
      </c>
      <c r="C57" s="2">
        <v>3</v>
      </c>
      <c r="D57" s="1">
        <v>129.94999999999999</v>
      </c>
      <c r="E57" s="1">
        <v>49.98</v>
      </c>
      <c r="F57" s="1">
        <v>0</v>
      </c>
      <c r="G57" s="1">
        <v>0</v>
      </c>
      <c r="H57" s="1">
        <v>129.94999999999999</v>
      </c>
    </row>
    <row r="58" spans="1:8" x14ac:dyDescent="0.2">
      <c r="A58" t="s">
        <v>58</v>
      </c>
      <c r="B58" t="s">
        <v>15</v>
      </c>
      <c r="C58" s="2">
        <v>3</v>
      </c>
      <c r="D58" s="1">
        <v>303.92</v>
      </c>
      <c r="E58" s="1">
        <v>0</v>
      </c>
      <c r="F58" s="1">
        <v>0</v>
      </c>
      <c r="G58" s="1">
        <v>23.99</v>
      </c>
      <c r="H58" s="1">
        <v>279.93</v>
      </c>
    </row>
    <row r="59" spans="1:8" x14ac:dyDescent="0.2">
      <c r="A59" t="s">
        <v>64</v>
      </c>
      <c r="B59" t="s">
        <v>15</v>
      </c>
      <c r="C59" s="2">
        <v>3</v>
      </c>
      <c r="D59" s="1">
        <v>35.96</v>
      </c>
      <c r="E59" s="1">
        <v>53.97</v>
      </c>
      <c r="F59" s="1">
        <v>0</v>
      </c>
      <c r="G59" s="1">
        <v>0</v>
      </c>
      <c r="H59" s="1">
        <v>35.96</v>
      </c>
    </row>
    <row r="60" spans="1:8" x14ac:dyDescent="0.2">
      <c r="A60" t="s">
        <v>65</v>
      </c>
      <c r="B60" t="s">
        <v>15</v>
      </c>
      <c r="C60" s="2">
        <v>3</v>
      </c>
      <c r="D60" s="1">
        <v>134.93</v>
      </c>
      <c r="E60" s="1">
        <v>129.97</v>
      </c>
      <c r="F60" s="1">
        <v>67.459999999999994</v>
      </c>
      <c r="G60" s="1">
        <v>0</v>
      </c>
      <c r="H60" s="1">
        <v>67.47</v>
      </c>
    </row>
    <row r="61" spans="1:8" x14ac:dyDescent="0.2">
      <c r="A61" t="s">
        <v>69</v>
      </c>
      <c r="B61" t="s">
        <v>15</v>
      </c>
      <c r="C61" s="2">
        <v>3</v>
      </c>
      <c r="D61" s="1">
        <v>291.12</v>
      </c>
      <c r="E61" s="1">
        <v>0</v>
      </c>
      <c r="F61" s="1">
        <v>0</v>
      </c>
      <c r="G61" s="1">
        <v>31.19</v>
      </c>
      <c r="H61" s="1">
        <v>259.93</v>
      </c>
    </row>
    <row r="62" spans="1:8" x14ac:dyDescent="0.2">
      <c r="A62" t="s">
        <v>82</v>
      </c>
      <c r="B62" t="s">
        <v>15</v>
      </c>
      <c r="C62" s="2">
        <v>3</v>
      </c>
      <c r="D62" s="1">
        <v>185.91</v>
      </c>
      <c r="E62" s="1">
        <v>99.98</v>
      </c>
      <c r="F62" s="1">
        <v>0</v>
      </c>
      <c r="G62" s="1">
        <v>6</v>
      </c>
      <c r="H62" s="1">
        <v>179.91</v>
      </c>
    </row>
    <row r="63" spans="1:8" x14ac:dyDescent="0.2">
      <c r="A63" t="s">
        <v>85</v>
      </c>
      <c r="B63" t="s">
        <v>15</v>
      </c>
      <c r="C63" s="2">
        <v>3</v>
      </c>
      <c r="D63" s="1">
        <v>175.83</v>
      </c>
      <c r="E63" s="1">
        <v>37.950000000000003</v>
      </c>
      <c r="F63" s="1">
        <v>0</v>
      </c>
      <c r="G63" s="1">
        <v>18.84</v>
      </c>
      <c r="H63" s="1">
        <v>156.99</v>
      </c>
    </row>
    <row r="64" spans="1:8" x14ac:dyDescent="0.2">
      <c r="A64" t="s">
        <v>87</v>
      </c>
      <c r="B64" t="s">
        <v>15</v>
      </c>
      <c r="C64" s="2">
        <v>3</v>
      </c>
      <c r="D64" s="1">
        <v>68.13</v>
      </c>
      <c r="E64" s="1">
        <v>32.46</v>
      </c>
      <c r="F64" s="1">
        <v>0</v>
      </c>
      <c r="G64" s="1">
        <v>5.7</v>
      </c>
      <c r="H64" s="1">
        <v>62.43</v>
      </c>
    </row>
    <row r="65" spans="1:8" x14ac:dyDescent="0.2">
      <c r="A65" t="s">
        <v>90</v>
      </c>
      <c r="B65" t="s">
        <v>15</v>
      </c>
      <c r="C65" s="2">
        <v>3</v>
      </c>
      <c r="D65" s="1">
        <v>114.96</v>
      </c>
      <c r="E65" s="1">
        <v>154.97</v>
      </c>
      <c r="F65" s="1">
        <v>0</v>
      </c>
      <c r="G65" s="1">
        <v>0</v>
      </c>
      <c r="H65" s="1">
        <v>114.96</v>
      </c>
    </row>
    <row r="66" spans="1:8" x14ac:dyDescent="0.2">
      <c r="A66" t="s">
        <v>99</v>
      </c>
      <c r="B66" t="s">
        <v>15</v>
      </c>
      <c r="C66" s="2">
        <v>3</v>
      </c>
      <c r="D66" s="1">
        <v>65.33</v>
      </c>
      <c r="E66" s="1">
        <v>29.96</v>
      </c>
      <c r="F66" s="1">
        <v>0</v>
      </c>
      <c r="G66" s="1">
        <v>5.4</v>
      </c>
      <c r="H66" s="1">
        <v>59.93</v>
      </c>
    </row>
    <row r="67" spans="1:8" x14ac:dyDescent="0.2">
      <c r="A67" t="s">
        <v>101</v>
      </c>
      <c r="B67" t="s">
        <v>15</v>
      </c>
      <c r="C67" s="2">
        <v>3</v>
      </c>
      <c r="D67" s="1">
        <v>33.54</v>
      </c>
      <c r="E67" s="1">
        <v>229.9</v>
      </c>
      <c r="F67" s="1">
        <v>0</v>
      </c>
      <c r="G67" s="1">
        <v>3.59</v>
      </c>
      <c r="H67" s="1">
        <v>29.95</v>
      </c>
    </row>
    <row r="68" spans="1:8" x14ac:dyDescent="0.2">
      <c r="A68" t="s">
        <v>104</v>
      </c>
      <c r="B68" t="s">
        <v>15</v>
      </c>
      <c r="C68" s="2">
        <v>3</v>
      </c>
      <c r="D68" s="1">
        <v>209.53</v>
      </c>
      <c r="E68" s="1">
        <v>129.91999999999999</v>
      </c>
      <c r="F68" s="1">
        <v>0</v>
      </c>
      <c r="G68" s="1">
        <v>9.6</v>
      </c>
      <c r="H68" s="1">
        <v>199.93</v>
      </c>
    </row>
    <row r="69" spans="1:8" x14ac:dyDescent="0.2">
      <c r="A69" t="s">
        <v>105</v>
      </c>
      <c r="B69" t="s">
        <v>15</v>
      </c>
      <c r="C69" s="2">
        <v>3</v>
      </c>
      <c r="D69" s="1">
        <v>48.52</v>
      </c>
      <c r="E69" s="1">
        <v>44.93</v>
      </c>
      <c r="F69" s="1">
        <v>0</v>
      </c>
      <c r="G69" s="1">
        <v>3.6</v>
      </c>
      <c r="H69" s="1">
        <v>44.92</v>
      </c>
    </row>
    <row r="70" spans="1:8" x14ac:dyDescent="0.2">
      <c r="A70" t="s">
        <v>106</v>
      </c>
      <c r="B70" t="s">
        <v>15</v>
      </c>
      <c r="C70" s="2">
        <v>3</v>
      </c>
      <c r="D70" s="1">
        <v>49.97</v>
      </c>
      <c r="E70" s="1">
        <v>109.88</v>
      </c>
      <c r="F70" s="1">
        <v>24.98</v>
      </c>
      <c r="G70" s="1">
        <v>0</v>
      </c>
      <c r="H70" s="1">
        <v>24.99</v>
      </c>
    </row>
    <row r="71" spans="1:8" x14ac:dyDescent="0.2">
      <c r="A71" t="s">
        <v>109</v>
      </c>
      <c r="B71" t="s">
        <v>15</v>
      </c>
      <c r="C71" s="2">
        <v>3</v>
      </c>
      <c r="D71" s="1">
        <v>29.95</v>
      </c>
      <c r="E71" s="1">
        <v>79.900000000000006</v>
      </c>
      <c r="F71" s="1">
        <v>0</v>
      </c>
      <c r="G71" s="1">
        <v>0</v>
      </c>
      <c r="H71" s="1">
        <v>29.95</v>
      </c>
    </row>
    <row r="72" spans="1:8" x14ac:dyDescent="0.2">
      <c r="A72" t="s">
        <v>113</v>
      </c>
      <c r="B72" t="s">
        <v>15</v>
      </c>
      <c r="C72" s="2">
        <v>3</v>
      </c>
      <c r="D72" s="1">
        <v>48.51</v>
      </c>
      <c r="E72" s="1">
        <v>44.93</v>
      </c>
      <c r="F72" s="1">
        <v>0</v>
      </c>
      <c r="G72" s="1">
        <v>3.59</v>
      </c>
      <c r="H72" s="1">
        <v>44.92</v>
      </c>
    </row>
    <row r="73" spans="1:8" x14ac:dyDescent="0.2">
      <c r="A73" t="s">
        <v>116</v>
      </c>
      <c r="B73" t="s">
        <v>15</v>
      </c>
      <c r="C73" s="2">
        <v>3</v>
      </c>
      <c r="D73" s="1">
        <v>104.45</v>
      </c>
      <c r="E73" s="1">
        <v>14.98</v>
      </c>
      <c r="F73" s="1">
        <v>0</v>
      </c>
      <c r="G73" s="1">
        <v>9.58</v>
      </c>
      <c r="H73" s="1">
        <v>94.87</v>
      </c>
    </row>
    <row r="74" spans="1:8" x14ac:dyDescent="0.2">
      <c r="A74" t="s">
        <v>127</v>
      </c>
      <c r="B74" t="s">
        <v>15</v>
      </c>
      <c r="C74" s="2">
        <v>3</v>
      </c>
      <c r="D74" s="1">
        <v>109.87</v>
      </c>
      <c r="E74" s="1">
        <v>49.98</v>
      </c>
      <c r="F74" s="1">
        <v>0</v>
      </c>
      <c r="G74" s="1">
        <v>0</v>
      </c>
      <c r="H74" s="1">
        <v>109.87</v>
      </c>
    </row>
    <row r="75" spans="1:8" x14ac:dyDescent="0.2">
      <c r="A75" t="s">
        <v>145</v>
      </c>
      <c r="B75" t="s">
        <v>15</v>
      </c>
      <c r="C75" s="2">
        <v>3</v>
      </c>
      <c r="D75" s="1">
        <v>73.930000000000007</v>
      </c>
      <c r="E75" s="1">
        <v>85.92</v>
      </c>
      <c r="F75" s="1">
        <v>0</v>
      </c>
      <c r="G75" s="1">
        <v>0</v>
      </c>
      <c r="H75" s="1">
        <v>73.930000000000007</v>
      </c>
    </row>
    <row r="76" spans="1:8" x14ac:dyDescent="0.2">
      <c r="A76" t="s">
        <v>163</v>
      </c>
      <c r="B76" t="s">
        <v>15</v>
      </c>
      <c r="C76" s="2">
        <v>3</v>
      </c>
      <c r="D76" s="1">
        <v>127.87</v>
      </c>
      <c r="E76" s="1">
        <v>24.98</v>
      </c>
      <c r="F76" s="1">
        <v>0</v>
      </c>
      <c r="G76" s="1">
        <v>3</v>
      </c>
      <c r="H76" s="1">
        <v>124.87</v>
      </c>
    </row>
    <row r="77" spans="1:8" x14ac:dyDescent="0.2">
      <c r="A77" t="s">
        <v>180</v>
      </c>
      <c r="B77" t="s">
        <v>15</v>
      </c>
      <c r="C77" s="2">
        <v>3</v>
      </c>
      <c r="D77" s="1">
        <v>62.18</v>
      </c>
      <c r="E77" s="1">
        <v>52.67</v>
      </c>
      <c r="F77" s="1">
        <v>0</v>
      </c>
      <c r="G77" s="1">
        <v>0</v>
      </c>
      <c r="H77" s="1">
        <v>62.18</v>
      </c>
    </row>
    <row r="78" spans="1:8" x14ac:dyDescent="0.2">
      <c r="A78" t="s">
        <v>182</v>
      </c>
      <c r="B78" t="s">
        <v>15</v>
      </c>
      <c r="C78" s="2">
        <v>3</v>
      </c>
      <c r="D78" s="1">
        <v>64.3</v>
      </c>
      <c r="E78" s="1">
        <v>42.44</v>
      </c>
      <c r="F78" s="1">
        <v>0</v>
      </c>
      <c r="G78" s="1">
        <v>6.89</v>
      </c>
      <c r="H78" s="1">
        <v>57.41</v>
      </c>
    </row>
    <row r="79" spans="1:8" x14ac:dyDescent="0.2">
      <c r="A79" t="s">
        <v>198</v>
      </c>
      <c r="B79" t="s">
        <v>15</v>
      </c>
      <c r="C79" s="2">
        <v>3</v>
      </c>
      <c r="D79" s="1">
        <v>205.42</v>
      </c>
      <c r="E79" s="1">
        <v>162.43</v>
      </c>
      <c r="F79" s="1">
        <v>0</v>
      </c>
      <c r="G79" s="1">
        <v>18</v>
      </c>
      <c r="H79" s="1">
        <v>187.42</v>
      </c>
    </row>
    <row r="80" spans="1:8" x14ac:dyDescent="0.2">
      <c r="A80" t="s">
        <v>201</v>
      </c>
      <c r="B80" t="s">
        <v>15</v>
      </c>
      <c r="C80" s="2">
        <v>3</v>
      </c>
      <c r="D80" s="1">
        <v>319.05</v>
      </c>
      <c r="E80" s="1">
        <v>19.989999999999998</v>
      </c>
      <c r="F80" s="1">
        <v>0</v>
      </c>
      <c r="G80" s="1">
        <v>4.1900000000000004</v>
      </c>
      <c r="H80" s="1">
        <v>314.86</v>
      </c>
    </row>
    <row r="81" spans="1:8" x14ac:dyDescent="0.2">
      <c r="A81" t="s">
        <v>205</v>
      </c>
      <c r="B81" t="s">
        <v>15</v>
      </c>
      <c r="C81" s="2">
        <v>3</v>
      </c>
      <c r="D81" s="1">
        <v>125.85</v>
      </c>
      <c r="E81" s="1">
        <v>0</v>
      </c>
      <c r="F81" s="1">
        <v>0</v>
      </c>
      <c r="G81" s="1">
        <v>6</v>
      </c>
      <c r="H81" s="1">
        <v>119.85</v>
      </c>
    </row>
    <row r="82" spans="1:8" x14ac:dyDescent="0.2">
      <c r="A82" t="s">
        <v>215</v>
      </c>
      <c r="B82" t="s">
        <v>15</v>
      </c>
      <c r="C82" s="2">
        <v>3</v>
      </c>
      <c r="D82" s="1">
        <v>115.86</v>
      </c>
      <c r="E82" s="1">
        <v>24.98</v>
      </c>
      <c r="F82" s="1">
        <v>0</v>
      </c>
      <c r="G82" s="1">
        <v>5.99</v>
      </c>
      <c r="H82" s="1">
        <v>109.87</v>
      </c>
    </row>
    <row r="83" spans="1:8" x14ac:dyDescent="0.2">
      <c r="A83" t="s">
        <v>216</v>
      </c>
      <c r="B83" t="s">
        <v>15</v>
      </c>
      <c r="C83" s="2">
        <v>3</v>
      </c>
      <c r="D83" s="1">
        <v>99.92</v>
      </c>
      <c r="E83" s="1">
        <v>84.93</v>
      </c>
      <c r="F83" s="1">
        <v>0</v>
      </c>
      <c r="G83" s="1">
        <v>0</v>
      </c>
      <c r="H83" s="1">
        <v>99.92</v>
      </c>
    </row>
    <row r="84" spans="1:8" x14ac:dyDescent="0.2">
      <c r="A84" t="s">
        <v>19</v>
      </c>
      <c r="B84" t="s">
        <v>15</v>
      </c>
      <c r="C84" s="2">
        <v>2</v>
      </c>
      <c r="D84" s="1">
        <v>0</v>
      </c>
      <c r="E84" s="1">
        <v>109.98</v>
      </c>
      <c r="F84" s="1">
        <v>0</v>
      </c>
      <c r="G84" s="1">
        <v>0</v>
      </c>
      <c r="H84" s="1">
        <v>0</v>
      </c>
    </row>
    <row r="85" spans="1:8" x14ac:dyDescent="0.2">
      <c r="A85" t="s">
        <v>21</v>
      </c>
      <c r="B85" t="s">
        <v>15</v>
      </c>
      <c r="C85" s="2">
        <v>2</v>
      </c>
      <c r="D85" s="1">
        <v>54.98</v>
      </c>
      <c r="E85" s="1">
        <v>15</v>
      </c>
      <c r="F85" s="1">
        <v>0</v>
      </c>
      <c r="G85" s="1">
        <v>0</v>
      </c>
      <c r="H85" s="1">
        <v>54.98</v>
      </c>
    </row>
    <row r="86" spans="1:8" x14ac:dyDescent="0.2">
      <c r="A86" t="s">
        <v>31</v>
      </c>
      <c r="B86" t="s">
        <v>15</v>
      </c>
      <c r="C86" s="2">
        <v>2</v>
      </c>
      <c r="D86" s="1">
        <v>92.49</v>
      </c>
      <c r="E86" s="1">
        <v>62.5</v>
      </c>
      <c r="F86" s="1">
        <v>0</v>
      </c>
      <c r="G86" s="1">
        <v>0</v>
      </c>
      <c r="H86" s="1">
        <v>92.49</v>
      </c>
    </row>
    <row r="87" spans="1:8" x14ac:dyDescent="0.2">
      <c r="A87" t="s">
        <v>47</v>
      </c>
      <c r="B87" t="s">
        <v>15</v>
      </c>
      <c r="C87" s="2">
        <v>2</v>
      </c>
      <c r="D87" s="1">
        <v>554.99</v>
      </c>
      <c r="E87" s="1">
        <v>0</v>
      </c>
      <c r="F87" s="1">
        <v>0</v>
      </c>
      <c r="G87" s="1">
        <v>0</v>
      </c>
      <c r="H87" s="1">
        <v>554.99</v>
      </c>
    </row>
    <row r="88" spans="1:8" x14ac:dyDescent="0.2">
      <c r="A88" t="s">
        <v>48</v>
      </c>
      <c r="B88" t="s">
        <v>15</v>
      </c>
      <c r="C88" s="2">
        <v>2</v>
      </c>
      <c r="D88" s="1">
        <v>78.38</v>
      </c>
      <c r="E88" s="1">
        <v>0</v>
      </c>
      <c r="F88" s="1">
        <v>0</v>
      </c>
      <c r="G88" s="1">
        <v>8.4</v>
      </c>
      <c r="H88" s="1">
        <v>69.98</v>
      </c>
    </row>
    <row r="89" spans="1:8" x14ac:dyDescent="0.2">
      <c r="A89" t="s">
        <v>61</v>
      </c>
      <c r="B89" t="s">
        <v>15</v>
      </c>
      <c r="C89" s="2">
        <v>2</v>
      </c>
      <c r="D89" s="1">
        <v>49.97</v>
      </c>
      <c r="E89" s="1">
        <v>79.97</v>
      </c>
      <c r="F89" s="1">
        <v>5</v>
      </c>
      <c r="G89" s="1">
        <v>0</v>
      </c>
      <c r="H89" s="1">
        <v>44.97</v>
      </c>
    </row>
    <row r="90" spans="1:8" x14ac:dyDescent="0.2">
      <c r="A90" t="s">
        <v>66</v>
      </c>
      <c r="B90" t="s">
        <v>15</v>
      </c>
      <c r="C90" s="2">
        <v>2</v>
      </c>
      <c r="D90" s="1">
        <v>59.98</v>
      </c>
      <c r="E90" s="1">
        <v>20</v>
      </c>
      <c r="F90" s="1">
        <v>0</v>
      </c>
      <c r="G90" s="1">
        <v>0</v>
      </c>
      <c r="H90" s="1">
        <v>59.98</v>
      </c>
    </row>
    <row r="91" spans="1:8" x14ac:dyDescent="0.2">
      <c r="A91" t="s">
        <v>71</v>
      </c>
      <c r="B91" t="s">
        <v>15</v>
      </c>
      <c r="C91" s="2">
        <v>2</v>
      </c>
      <c r="D91" s="1">
        <v>46.6</v>
      </c>
      <c r="E91" s="1">
        <v>25.99</v>
      </c>
      <c r="F91" s="1">
        <v>21.98</v>
      </c>
      <c r="G91" s="1">
        <v>2.64</v>
      </c>
      <c r="H91" s="1">
        <v>21.98</v>
      </c>
    </row>
    <row r="92" spans="1:8" x14ac:dyDescent="0.2">
      <c r="A92" t="s">
        <v>74</v>
      </c>
      <c r="B92" t="s">
        <v>15</v>
      </c>
      <c r="C92" s="2">
        <v>2</v>
      </c>
      <c r="D92" s="1">
        <v>55.93</v>
      </c>
      <c r="E92" s="1">
        <v>20</v>
      </c>
      <c r="F92" s="1">
        <v>0</v>
      </c>
      <c r="G92" s="1">
        <v>5.99</v>
      </c>
      <c r="H92" s="1">
        <v>49.94</v>
      </c>
    </row>
    <row r="93" spans="1:8" x14ac:dyDescent="0.2">
      <c r="A93" t="s">
        <v>79</v>
      </c>
      <c r="B93" t="s">
        <v>15</v>
      </c>
      <c r="C93" s="2">
        <v>2</v>
      </c>
      <c r="D93" s="1">
        <v>38.96</v>
      </c>
      <c r="E93" s="1">
        <v>20.98</v>
      </c>
      <c r="F93" s="1">
        <v>0</v>
      </c>
      <c r="G93" s="1">
        <v>0</v>
      </c>
      <c r="H93" s="1">
        <v>38.96</v>
      </c>
    </row>
    <row r="94" spans="1:8" x14ac:dyDescent="0.2">
      <c r="A94" t="s">
        <v>91</v>
      </c>
      <c r="B94" t="s">
        <v>15</v>
      </c>
      <c r="C94" s="2">
        <v>2</v>
      </c>
      <c r="D94" s="1">
        <v>40</v>
      </c>
      <c r="E94" s="1">
        <v>29.95</v>
      </c>
      <c r="F94" s="1">
        <v>20</v>
      </c>
      <c r="G94" s="1">
        <v>0</v>
      </c>
      <c r="H94" s="1">
        <v>20</v>
      </c>
    </row>
    <row r="95" spans="1:8" x14ac:dyDescent="0.2">
      <c r="A95" t="s">
        <v>107</v>
      </c>
      <c r="B95" t="s">
        <v>15</v>
      </c>
      <c r="C95" s="2">
        <v>2</v>
      </c>
      <c r="D95" s="1">
        <v>59.9</v>
      </c>
      <c r="E95" s="1">
        <v>0</v>
      </c>
      <c r="F95" s="1">
        <v>0</v>
      </c>
      <c r="G95" s="1">
        <v>0</v>
      </c>
      <c r="H95" s="1">
        <v>59.9</v>
      </c>
    </row>
    <row r="96" spans="1:8" x14ac:dyDescent="0.2">
      <c r="A96" t="s">
        <v>108</v>
      </c>
      <c r="B96" t="s">
        <v>15</v>
      </c>
      <c r="C96" s="2">
        <v>2</v>
      </c>
      <c r="D96" s="1">
        <v>14.97</v>
      </c>
      <c r="E96" s="1">
        <v>114.93</v>
      </c>
      <c r="F96" s="1">
        <v>1.5</v>
      </c>
      <c r="G96" s="1">
        <v>0</v>
      </c>
      <c r="H96" s="1">
        <v>13.47</v>
      </c>
    </row>
    <row r="97" spans="1:8" x14ac:dyDescent="0.2">
      <c r="A97" t="s">
        <v>112</v>
      </c>
      <c r="B97" t="s">
        <v>15</v>
      </c>
      <c r="C97" s="2">
        <v>2</v>
      </c>
      <c r="D97" s="1">
        <v>119.92</v>
      </c>
      <c r="E97" s="1">
        <v>0</v>
      </c>
      <c r="F97" s="1">
        <v>59.96</v>
      </c>
      <c r="G97" s="1">
        <v>0</v>
      </c>
      <c r="H97" s="1">
        <v>59.96</v>
      </c>
    </row>
    <row r="98" spans="1:8" x14ac:dyDescent="0.2">
      <c r="A98" t="s">
        <v>119</v>
      </c>
      <c r="B98" t="s">
        <v>15</v>
      </c>
      <c r="C98" s="2">
        <v>2</v>
      </c>
      <c r="D98" s="1">
        <v>42.93</v>
      </c>
      <c r="E98" s="1">
        <v>21.97</v>
      </c>
      <c r="F98" s="1">
        <v>21.46</v>
      </c>
      <c r="G98" s="1">
        <v>0</v>
      </c>
      <c r="H98" s="1">
        <v>21.47</v>
      </c>
    </row>
    <row r="99" spans="1:8" x14ac:dyDescent="0.2">
      <c r="A99" t="s">
        <v>123</v>
      </c>
      <c r="B99" t="s">
        <v>15</v>
      </c>
      <c r="C99" s="2">
        <v>2</v>
      </c>
      <c r="D99" s="1">
        <v>114.92</v>
      </c>
      <c r="E99" s="1">
        <v>14.98</v>
      </c>
      <c r="F99" s="1">
        <v>0</v>
      </c>
      <c r="G99" s="1">
        <v>0</v>
      </c>
      <c r="H99" s="1">
        <v>114.92</v>
      </c>
    </row>
    <row r="100" spans="1:8" x14ac:dyDescent="0.2">
      <c r="A100" t="s">
        <v>125</v>
      </c>
      <c r="B100" t="s">
        <v>63</v>
      </c>
      <c r="C100" s="2">
        <v>2</v>
      </c>
      <c r="D100" s="1">
        <v>89.53</v>
      </c>
      <c r="E100" s="1">
        <v>0</v>
      </c>
      <c r="F100" s="1">
        <v>0</v>
      </c>
      <c r="G100" s="1">
        <v>9.59</v>
      </c>
      <c r="H100" s="1">
        <v>79.94</v>
      </c>
    </row>
    <row r="101" spans="1:8" x14ac:dyDescent="0.2">
      <c r="A101" t="s">
        <v>133</v>
      </c>
      <c r="B101" t="s">
        <v>15</v>
      </c>
      <c r="C101" s="2">
        <v>2</v>
      </c>
      <c r="D101" s="1">
        <v>44.92</v>
      </c>
      <c r="E101" s="1">
        <v>14.98</v>
      </c>
      <c r="F101" s="1">
        <v>0</v>
      </c>
      <c r="G101" s="1">
        <v>0</v>
      </c>
      <c r="H101" s="1">
        <v>44.92</v>
      </c>
    </row>
    <row r="102" spans="1:8" x14ac:dyDescent="0.2">
      <c r="A102" t="s">
        <v>137</v>
      </c>
      <c r="B102" t="s">
        <v>15</v>
      </c>
      <c r="C102" s="2">
        <v>2</v>
      </c>
      <c r="D102" s="1">
        <v>66.709999999999994</v>
      </c>
      <c r="E102" s="1">
        <v>14.98</v>
      </c>
      <c r="F102" s="1">
        <v>0</v>
      </c>
      <c r="G102" s="1">
        <v>1.79</v>
      </c>
      <c r="H102" s="1">
        <v>64.92</v>
      </c>
    </row>
    <row r="103" spans="1:8" x14ac:dyDescent="0.2">
      <c r="A103" t="s">
        <v>140</v>
      </c>
      <c r="B103" t="s">
        <v>15</v>
      </c>
      <c r="C103" s="2">
        <v>2</v>
      </c>
      <c r="D103" s="1">
        <v>42.94</v>
      </c>
      <c r="E103" s="1">
        <v>39.96</v>
      </c>
      <c r="F103" s="1">
        <v>0</v>
      </c>
      <c r="G103" s="1">
        <v>3</v>
      </c>
      <c r="H103" s="1">
        <v>39.94</v>
      </c>
    </row>
    <row r="104" spans="1:8" x14ac:dyDescent="0.2">
      <c r="A104" t="s">
        <v>142</v>
      </c>
      <c r="B104" t="s">
        <v>15</v>
      </c>
      <c r="C104" s="2">
        <v>2</v>
      </c>
      <c r="D104" s="1">
        <v>55.97</v>
      </c>
      <c r="E104" s="1">
        <v>249.93</v>
      </c>
      <c r="F104" s="1">
        <v>0</v>
      </c>
      <c r="G104" s="1">
        <v>6</v>
      </c>
      <c r="H104" s="1">
        <v>49.97</v>
      </c>
    </row>
    <row r="105" spans="1:8" x14ac:dyDescent="0.2">
      <c r="A105" t="s">
        <v>148</v>
      </c>
      <c r="B105" t="s">
        <v>15</v>
      </c>
      <c r="C105" s="2">
        <v>2</v>
      </c>
      <c r="D105" s="1">
        <v>69.91</v>
      </c>
      <c r="E105" s="1">
        <v>9.99</v>
      </c>
      <c r="F105" s="1">
        <v>0</v>
      </c>
      <c r="G105" s="1">
        <v>0</v>
      </c>
      <c r="H105" s="1">
        <v>69.91</v>
      </c>
    </row>
    <row r="106" spans="1:8" x14ac:dyDescent="0.2">
      <c r="A106" t="s">
        <v>150</v>
      </c>
      <c r="B106" t="s">
        <v>15</v>
      </c>
      <c r="C106" s="2">
        <v>2</v>
      </c>
      <c r="D106" s="1">
        <v>71.900000000000006</v>
      </c>
      <c r="E106" s="1">
        <v>12.49</v>
      </c>
      <c r="F106" s="1">
        <v>0</v>
      </c>
      <c r="G106" s="1">
        <v>4.49</v>
      </c>
      <c r="H106" s="1">
        <v>67.41</v>
      </c>
    </row>
    <row r="107" spans="1:8" x14ac:dyDescent="0.2">
      <c r="A107" t="s">
        <v>156</v>
      </c>
      <c r="B107" t="s">
        <v>15</v>
      </c>
      <c r="C107" s="2">
        <v>2</v>
      </c>
      <c r="D107" s="1">
        <v>59.97</v>
      </c>
      <c r="E107" s="1">
        <v>74.930000000000007</v>
      </c>
      <c r="F107" s="1">
        <v>29.98</v>
      </c>
      <c r="G107" s="1">
        <v>0</v>
      </c>
      <c r="H107" s="1">
        <v>29.99</v>
      </c>
    </row>
    <row r="108" spans="1:8" x14ac:dyDescent="0.2">
      <c r="A108" t="s">
        <v>166</v>
      </c>
      <c r="B108" t="s">
        <v>15</v>
      </c>
      <c r="C108" s="2">
        <v>2</v>
      </c>
      <c r="D108" s="1">
        <v>27.96</v>
      </c>
      <c r="E108" s="1">
        <v>106.94</v>
      </c>
      <c r="F108" s="1">
        <v>5.59</v>
      </c>
      <c r="G108" s="1">
        <v>0</v>
      </c>
      <c r="H108" s="1">
        <v>22.37</v>
      </c>
    </row>
    <row r="109" spans="1:8" x14ac:dyDescent="0.2">
      <c r="A109" t="s">
        <v>167</v>
      </c>
      <c r="B109" t="s">
        <v>15</v>
      </c>
      <c r="C109" s="2">
        <v>2</v>
      </c>
      <c r="D109" s="1">
        <v>159.96</v>
      </c>
      <c r="E109" s="1">
        <v>74.94</v>
      </c>
      <c r="F109" s="1">
        <v>16</v>
      </c>
      <c r="G109" s="1">
        <v>0</v>
      </c>
      <c r="H109" s="1">
        <v>143.96</v>
      </c>
    </row>
    <row r="110" spans="1:8" x14ac:dyDescent="0.2">
      <c r="A110" t="s">
        <v>169</v>
      </c>
      <c r="B110" t="s">
        <v>15</v>
      </c>
      <c r="C110" s="2">
        <v>2</v>
      </c>
      <c r="D110" s="1">
        <v>49.95</v>
      </c>
      <c r="E110" s="1">
        <v>34.950000000000003</v>
      </c>
      <c r="F110" s="1">
        <v>14.98</v>
      </c>
      <c r="G110" s="1">
        <v>0</v>
      </c>
      <c r="H110" s="1">
        <v>34.97</v>
      </c>
    </row>
    <row r="111" spans="1:8" x14ac:dyDescent="0.2">
      <c r="A111" t="s">
        <v>174</v>
      </c>
      <c r="B111" t="s">
        <v>15</v>
      </c>
      <c r="C111" s="2">
        <v>2</v>
      </c>
      <c r="D111" s="1">
        <v>229.9</v>
      </c>
      <c r="E111" s="1">
        <v>0</v>
      </c>
      <c r="F111" s="1">
        <v>0</v>
      </c>
      <c r="G111" s="1">
        <v>0</v>
      </c>
      <c r="H111" s="1">
        <v>229.9</v>
      </c>
    </row>
    <row r="112" spans="1:8" x14ac:dyDescent="0.2">
      <c r="A112" t="s">
        <v>175</v>
      </c>
      <c r="B112" t="s">
        <v>15</v>
      </c>
      <c r="C112" s="2">
        <v>2</v>
      </c>
      <c r="D112" s="1">
        <v>99.97</v>
      </c>
      <c r="E112" s="1">
        <v>199.93</v>
      </c>
      <c r="F112" s="1">
        <v>0</v>
      </c>
      <c r="G112" s="1">
        <v>0</v>
      </c>
      <c r="H112" s="1">
        <v>99.97</v>
      </c>
    </row>
    <row r="113" spans="1:8" x14ac:dyDescent="0.2">
      <c r="A113" t="s">
        <v>176</v>
      </c>
      <c r="B113" t="s">
        <v>15</v>
      </c>
      <c r="C113" s="2">
        <v>2</v>
      </c>
      <c r="D113" s="1">
        <v>49.97</v>
      </c>
      <c r="E113" s="1">
        <v>84.93</v>
      </c>
      <c r="F113" s="1">
        <v>0</v>
      </c>
      <c r="G113" s="1">
        <v>0</v>
      </c>
      <c r="H113" s="1">
        <v>49.97</v>
      </c>
    </row>
    <row r="114" spans="1:8" x14ac:dyDescent="0.2">
      <c r="A114" t="s">
        <v>178</v>
      </c>
      <c r="B114" t="s">
        <v>15</v>
      </c>
      <c r="C114" s="2">
        <v>2</v>
      </c>
      <c r="D114" s="1">
        <v>69.91</v>
      </c>
      <c r="E114" s="1">
        <v>9.99</v>
      </c>
      <c r="F114" s="1">
        <v>0</v>
      </c>
      <c r="G114" s="1">
        <v>0</v>
      </c>
      <c r="H114" s="1">
        <v>69.91</v>
      </c>
    </row>
    <row r="115" spans="1:8" x14ac:dyDescent="0.2">
      <c r="A115" t="s">
        <v>183</v>
      </c>
      <c r="B115" t="s">
        <v>15</v>
      </c>
      <c r="C115" s="2">
        <v>2</v>
      </c>
      <c r="D115" s="1">
        <v>34.950000000000003</v>
      </c>
      <c r="E115" s="1">
        <v>29.95</v>
      </c>
      <c r="F115" s="1">
        <v>0</v>
      </c>
      <c r="G115" s="1">
        <v>0</v>
      </c>
      <c r="H115" s="1">
        <v>34.950000000000003</v>
      </c>
    </row>
    <row r="116" spans="1:8" x14ac:dyDescent="0.2">
      <c r="A116" t="s">
        <v>185</v>
      </c>
      <c r="B116" t="s">
        <v>15</v>
      </c>
      <c r="C116" s="2">
        <v>2</v>
      </c>
      <c r="D116" s="1">
        <v>29.96</v>
      </c>
      <c r="E116" s="1">
        <v>49.95</v>
      </c>
      <c r="F116" s="1">
        <v>3</v>
      </c>
      <c r="G116" s="1">
        <v>0</v>
      </c>
      <c r="H116" s="1">
        <v>26.96</v>
      </c>
    </row>
    <row r="117" spans="1:8" x14ac:dyDescent="0.2">
      <c r="A117" t="s">
        <v>190</v>
      </c>
      <c r="B117" t="s">
        <v>15</v>
      </c>
      <c r="C117" s="2">
        <v>2</v>
      </c>
      <c r="D117" s="1">
        <v>193.92</v>
      </c>
      <c r="E117" s="1">
        <v>0</v>
      </c>
      <c r="F117" s="1">
        <v>92.46</v>
      </c>
      <c r="G117" s="1">
        <v>9</v>
      </c>
      <c r="H117" s="1">
        <v>92.46</v>
      </c>
    </row>
    <row r="118" spans="1:8" x14ac:dyDescent="0.2">
      <c r="A118" t="s">
        <v>192</v>
      </c>
      <c r="B118" t="s">
        <v>15</v>
      </c>
      <c r="C118" s="2">
        <v>2</v>
      </c>
      <c r="D118" s="1">
        <v>76.599999999999994</v>
      </c>
      <c r="E118" s="1">
        <v>12.49</v>
      </c>
      <c r="F118" s="1">
        <v>0</v>
      </c>
      <c r="G118" s="1">
        <v>4.1900000000000004</v>
      </c>
      <c r="H118" s="1">
        <v>72.41</v>
      </c>
    </row>
    <row r="119" spans="1:8" x14ac:dyDescent="0.2">
      <c r="A119" t="s">
        <v>193</v>
      </c>
      <c r="B119" t="s">
        <v>15</v>
      </c>
      <c r="C119" s="2">
        <v>2</v>
      </c>
      <c r="D119" s="1">
        <v>69.52</v>
      </c>
      <c r="E119" s="1">
        <v>17.48</v>
      </c>
      <c r="F119" s="1">
        <v>0</v>
      </c>
      <c r="G119" s="1">
        <v>2.1</v>
      </c>
      <c r="H119" s="1">
        <v>67.42</v>
      </c>
    </row>
    <row r="120" spans="1:8" x14ac:dyDescent="0.2">
      <c r="A120" t="s">
        <v>200</v>
      </c>
      <c r="B120" t="s">
        <v>15</v>
      </c>
      <c r="C120" s="2">
        <v>2</v>
      </c>
      <c r="D120" s="1">
        <v>161.91999999999999</v>
      </c>
      <c r="E120" s="1">
        <v>99.98</v>
      </c>
      <c r="F120" s="1">
        <v>0</v>
      </c>
      <c r="G120" s="1">
        <v>12</v>
      </c>
      <c r="H120" s="1">
        <v>149.91999999999999</v>
      </c>
    </row>
    <row r="121" spans="1:8" x14ac:dyDescent="0.2">
      <c r="A121" t="s">
        <v>209</v>
      </c>
      <c r="B121" t="s">
        <v>15</v>
      </c>
      <c r="C121" s="2">
        <v>2</v>
      </c>
      <c r="D121" s="1">
        <v>199.95</v>
      </c>
      <c r="E121" s="1">
        <v>99.95</v>
      </c>
      <c r="F121" s="1">
        <v>0</v>
      </c>
      <c r="G121" s="1">
        <v>0</v>
      </c>
      <c r="H121" s="1">
        <v>199.95</v>
      </c>
    </row>
    <row r="122" spans="1:8" x14ac:dyDescent="0.2">
      <c r="A122" t="s">
        <v>211</v>
      </c>
      <c r="B122" t="s">
        <v>15</v>
      </c>
      <c r="C122" s="2">
        <v>2</v>
      </c>
      <c r="D122" s="1">
        <v>26.21</v>
      </c>
      <c r="E122" s="1">
        <v>58.69</v>
      </c>
      <c r="F122" s="1">
        <v>0</v>
      </c>
      <c r="G122" s="1">
        <v>0</v>
      </c>
      <c r="H122" s="1">
        <v>26.21</v>
      </c>
    </row>
    <row r="123" spans="1:8" x14ac:dyDescent="0.2">
      <c r="A123" t="s">
        <v>218</v>
      </c>
      <c r="B123" t="s">
        <v>15</v>
      </c>
      <c r="C123" s="2">
        <v>2</v>
      </c>
      <c r="D123" s="1">
        <v>0</v>
      </c>
      <c r="E123" s="1">
        <v>299.89999999999998</v>
      </c>
      <c r="F123" s="1">
        <v>0</v>
      </c>
      <c r="G123" s="1">
        <v>0</v>
      </c>
      <c r="H123" s="1">
        <v>0</v>
      </c>
    </row>
    <row r="124" spans="1:8" x14ac:dyDescent="0.2">
      <c r="A124" t="s">
        <v>17</v>
      </c>
      <c r="B124" t="s">
        <v>15</v>
      </c>
      <c r="C124" s="2">
        <v>1</v>
      </c>
      <c r="D124" s="1">
        <v>79.989999999999995</v>
      </c>
      <c r="E124" s="1">
        <v>0</v>
      </c>
      <c r="F124" s="1">
        <v>0</v>
      </c>
      <c r="G124" s="1">
        <v>0</v>
      </c>
      <c r="H124" s="1">
        <v>79.989999999999995</v>
      </c>
    </row>
    <row r="125" spans="1:8" x14ac:dyDescent="0.2">
      <c r="A125" t="s">
        <v>20</v>
      </c>
      <c r="B125" t="s">
        <v>15</v>
      </c>
      <c r="C125" s="2">
        <v>1</v>
      </c>
      <c r="D125" s="1">
        <v>89.59</v>
      </c>
      <c r="E125" s="1">
        <v>0</v>
      </c>
      <c r="F125" s="1">
        <v>0</v>
      </c>
      <c r="G125" s="1">
        <v>9.6</v>
      </c>
      <c r="H125" s="1">
        <v>79.989999999999995</v>
      </c>
    </row>
    <row r="126" spans="1:8" x14ac:dyDescent="0.2">
      <c r="A126" t="s">
        <v>26</v>
      </c>
      <c r="B126" t="s">
        <v>15</v>
      </c>
      <c r="C126" s="2">
        <v>1</v>
      </c>
      <c r="D126" s="1">
        <v>0</v>
      </c>
      <c r="E126" s="1">
        <v>29.99</v>
      </c>
      <c r="F126" s="1">
        <v>0</v>
      </c>
      <c r="G126" s="1">
        <v>0</v>
      </c>
      <c r="H126" s="1">
        <v>0</v>
      </c>
    </row>
    <row r="127" spans="1:8" x14ac:dyDescent="0.2">
      <c r="A127" t="s">
        <v>29</v>
      </c>
      <c r="B127" t="s">
        <v>15</v>
      </c>
      <c r="C127" s="2">
        <v>1</v>
      </c>
      <c r="D127" s="1">
        <v>0</v>
      </c>
      <c r="E127" s="1">
        <v>29.99</v>
      </c>
      <c r="F127" s="1">
        <v>0</v>
      </c>
      <c r="G127" s="1">
        <v>0</v>
      </c>
      <c r="H127" s="1">
        <v>0</v>
      </c>
    </row>
    <row r="128" spans="1:8" x14ac:dyDescent="0.2">
      <c r="A128" t="s">
        <v>30</v>
      </c>
      <c r="B128" t="s">
        <v>15</v>
      </c>
      <c r="C128" s="2">
        <v>1</v>
      </c>
      <c r="D128" s="1">
        <v>39.99</v>
      </c>
      <c r="E128" s="1">
        <v>0</v>
      </c>
      <c r="F128" s="1">
        <v>0</v>
      </c>
      <c r="G128" s="1">
        <v>0</v>
      </c>
      <c r="H128" s="1">
        <v>39.99</v>
      </c>
    </row>
    <row r="129" spans="1:8" x14ac:dyDescent="0.2">
      <c r="A129" t="s">
        <v>32</v>
      </c>
      <c r="B129" t="s">
        <v>15</v>
      </c>
      <c r="C129" s="2">
        <v>1</v>
      </c>
      <c r="D129" s="1">
        <v>0</v>
      </c>
      <c r="E129" s="1">
        <v>29.99</v>
      </c>
      <c r="F129" s="1">
        <v>0</v>
      </c>
      <c r="G129" s="1">
        <v>0</v>
      </c>
      <c r="H129" s="1">
        <v>0</v>
      </c>
    </row>
    <row r="130" spans="1:8" x14ac:dyDescent="0.2">
      <c r="A130" t="s">
        <v>34</v>
      </c>
      <c r="B130" t="s">
        <v>15</v>
      </c>
      <c r="C130" s="2">
        <v>1</v>
      </c>
      <c r="D130" s="1">
        <v>0</v>
      </c>
      <c r="E130" s="1">
        <v>79.989999999999995</v>
      </c>
      <c r="F130" s="1">
        <v>0</v>
      </c>
      <c r="G130" s="1">
        <v>0</v>
      </c>
      <c r="H130" s="1">
        <v>0</v>
      </c>
    </row>
    <row r="131" spans="1:8" x14ac:dyDescent="0.2">
      <c r="A131" t="s">
        <v>35</v>
      </c>
      <c r="B131" t="s">
        <v>15</v>
      </c>
      <c r="C131" s="2">
        <v>1</v>
      </c>
      <c r="D131" s="1">
        <v>79.989999999999995</v>
      </c>
      <c r="E131" s="1">
        <v>0</v>
      </c>
      <c r="F131" s="1">
        <v>0</v>
      </c>
      <c r="G131" s="1">
        <v>0</v>
      </c>
      <c r="H131" s="1">
        <v>79.989999999999995</v>
      </c>
    </row>
    <row r="132" spans="1:8" x14ac:dyDescent="0.2">
      <c r="A132" t="s">
        <v>39</v>
      </c>
      <c r="B132" t="s">
        <v>40</v>
      </c>
      <c r="C132" s="2">
        <v>1</v>
      </c>
      <c r="D132" s="1">
        <v>106</v>
      </c>
      <c r="E132" s="1">
        <v>0</v>
      </c>
      <c r="F132" s="1">
        <v>50</v>
      </c>
      <c r="G132" s="1">
        <v>6</v>
      </c>
      <c r="H132" s="1">
        <v>50</v>
      </c>
    </row>
    <row r="133" spans="1:8" x14ac:dyDescent="0.2">
      <c r="A133" t="s">
        <v>41</v>
      </c>
      <c r="B133" t="s">
        <v>15</v>
      </c>
      <c r="C133" s="2">
        <v>1</v>
      </c>
      <c r="D133" s="1">
        <v>140</v>
      </c>
      <c r="E133" s="1">
        <v>0</v>
      </c>
      <c r="F133" s="1">
        <v>0</v>
      </c>
      <c r="G133" s="1">
        <v>15</v>
      </c>
      <c r="H133" s="1">
        <v>125</v>
      </c>
    </row>
    <row r="134" spans="1:8" x14ac:dyDescent="0.2">
      <c r="A134" t="s">
        <v>44</v>
      </c>
      <c r="B134" t="s">
        <v>15</v>
      </c>
      <c r="C134" s="2">
        <v>1</v>
      </c>
      <c r="D134" s="1">
        <v>29.99</v>
      </c>
      <c r="E134" s="1">
        <v>0</v>
      </c>
      <c r="F134" s="1">
        <v>0</v>
      </c>
      <c r="G134" s="1">
        <v>0</v>
      </c>
      <c r="H134" s="1">
        <v>29.99</v>
      </c>
    </row>
    <row r="135" spans="1:8" x14ac:dyDescent="0.2">
      <c r="A135" t="s">
        <v>46</v>
      </c>
      <c r="B135" t="s">
        <v>15</v>
      </c>
      <c r="C135" s="2">
        <v>1</v>
      </c>
      <c r="D135" s="1">
        <v>33.590000000000003</v>
      </c>
      <c r="E135" s="1">
        <v>0</v>
      </c>
      <c r="F135" s="1">
        <v>0</v>
      </c>
      <c r="G135" s="1">
        <v>3.6</v>
      </c>
      <c r="H135" s="1">
        <v>29.99</v>
      </c>
    </row>
    <row r="136" spans="1:8" x14ac:dyDescent="0.2">
      <c r="A136" t="s">
        <v>50</v>
      </c>
      <c r="B136" t="s">
        <v>15</v>
      </c>
      <c r="C136" s="2">
        <v>1</v>
      </c>
      <c r="D136" s="1">
        <v>0</v>
      </c>
      <c r="E136" s="1">
        <v>29.99</v>
      </c>
      <c r="F136" s="1">
        <v>0</v>
      </c>
      <c r="G136" s="1">
        <v>0</v>
      </c>
      <c r="H136" s="1">
        <v>0</v>
      </c>
    </row>
    <row r="137" spans="1:8" x14ac:dyDescent="0.2">
      <c r="A137" t="s">
        <v>51</v>
      </c>
      <c r="B137" t="s">
        <v>15</v>
      </c>
      <c r="C137" s="2">
        <v>1</v>
      </c>
      <c r="D137" s="1">
        <v>29.99</v>
      </c>
      <c r="E137" s="1">
        <v>0</v>
      </c>
      <c r="F137" s="1">
        <v>0</v>
      </c>
      <c r="G137" s="1">
        <v>0</v>
      </c>
      <c r="H137" s="1">
        <v>29.99</v>
      </c>
    </row>
    <row r="138" spans="1:8" x14ac:dyDescent="0.2">
      <c r="A138" t="s">
        <v>52</v>
      </c>
      <c r="B138" t="s">
        <v>15</v>
      </c>
      <c r="C138" s="2">
        <v>1</v>
      </c>
      <c r="D138" s="1">
        <v>0</v>
      </c>
      <c r="E138" s="1">
        <v>29.99</v>
      </c>
      <c r="F138" s="1">
        <v>0</v>
      </c>
      <c r="G138" s="1">
        <v>0</v>
      </c>
      <c r="H138" s="1">
        <v>0</v>
      </c>
    </row>
    <row r="139" spans="1:8" x14ac:dyDescent="0.2">
      <c r="A139" t="s">
        <v>55</v>
      </c>
      <c r="B139" t="s">
        <v>15</v>
      </c>
      <c r="C139" s="2">
        <v>1</v>
      </c>
      <c r="D139" s="1">
        <v>34.96</v>
      </c>
      <c r="E139" s="1">
        <v>0</v>
      </c>
      <c r="F139" s="1">
        <v>17.48</v>
      </c>
      <c r="G139" s="1">
        <v>0</v>
      </c>
      <c r="H139" s="1">
        <v>17.48</v>
      </c>
    </row>
    <row r="140" spans="1:8" x14ac:dyDescent="0.2">
      <c r="A140" t="s">
        <v>59</v>
      </c>
      <c r="B140" t="s">
        <v>15</v>
      </c>
      <c r="C140" s="2">
        <v>1</v>
      </c>
      <c r="D140" s="1">
        <v>84.8</v>
      </c>
      <c r="E140" s="1">
        <v>0</v>
      </c>
      <c r="F140" s="1">
        <v>40</v>
      </c>
      <c r="G140" s="1">
        <v>4.8</v>
      </c>
      <c r="H140" s="1">
        <v>40</v>
      </c>
    </row>
    <row r="141" spans="1:8" x14ac:dyDescent="0.2">
      <c r="A141" t="s">
        <v>68</v>
      </c>
      <c r="B141" t="s">
        <v>15</v>
      </c>
      <c r="C141" s="2">
        <v>1</v>
      </c>
      <c r="D141" s="1">
        <v>0</v>
      </c>
      <c r="E141" s="1">
        <v>125</v>
      </c>
      <c r="F141" s="1">
        <v>0</v>
      </c>
      <c r="G141" s="1">
        <v>0</v>
      </c>
      <c r="H141" s="1">
        <v>0</v>
      </c>
    </row>
    <row r="142" spans="1:8" x14ac:dyDescent="0.2">
      <c r="A142" t="s">
        <v>72</v>
      </c>
      <c r="B142" t="s">
        <v>15</v>
      </c>
      <c r="C142" s="2">
        <v>1</v>
      </c>
      <c r="D142" s="1">
        <v>0</v>
      </c>
      <c r="E142" s="1">
        <v>39.99</v>
      </c>
      <c r="F142" s="1">
        <v>0</v>
      </c>
      <c r="G142" s="1">
        <v>0</v>
      </c>
      <c r="H142" s="1">
        <v>0</v>
      </c>
    </row>
    <row r="143" spans="1:8" x14ac:dyDescent="0.2">
      <c r="A143" t="s">
        <v>76</v>
      </c>
      <c r="B143" t="s">
        <v>15</v>
      </c>
      <c r="C143" s="2">
        <v>1</v>
      </c>
      <c r="D143" s="1">
        <v>29.99</v>
      </c>
      <c r="E143" s="1">
        <v>0</v>
      </c>
      <c r="F143" s="1">
        <v>0</v>
      </c>
      <c r="G143" s="1">
        <v>0</v>
      </c>
      <c r="H143" s="1">
        <v>29.99</v>
      </c>
    </row>
    <row r="144" spans="1:8" x14ac:dyDescent="0.2">
      <c r="A144" t="s">
        <v>77</v>
      </c>
      <c r="B144" t="s">
        <v>15</v>
      </c>
      <c r="C144" s="2">
        <v>1</v>
      </c>
      <c r="D144" s="1">
        <v>44.79</v>
      </c>
      <c r="E144" s="1">
        <v>0</v>
      </c>
      <c r="F144" s="1">
        <v>0</v>
      </c>
      <c r="G144" s="1">
        <v>4.8</v>
      </c>
      <c r="H144" s="1">
        <v>39.99</v>
      </c>
    </row>
    <row r="145" spans="1:8" x14ac:dyDescent="0.2">
      <c r="A145" t="s">
        <v>78</v>
      </c>
      <c r="B145" t="s">
        <v>15</v>
      </c>
      <c r="C145" s="2">
        <v>1</v>
      </c>
      <c r="D145" s="1">
        <v>39.99</v>
      </c>
      <c r="E145" s="1">
        <v>0</v>
      </c>
      <c r="F145" s="1">
        <v>0</v>
      </c>
      <c r="G145" s="1">
        <v>0</v>
      </c>
      <c r="H145" s="1">
        <v>39.99</v>
      </c>
    </row>
    <row r="146" spans="1:8" x14ac:dyDescent="0.2">
      <c r="A146" t="s">
        <v>80</v>
      </c>
      <c r="B146" t="s">
        <v>15</v>
      </c>
      <c r="C146" s="2">
        <v>1</v>
      </c>
      <c r="D146" s="1">
        <v>125</v>
      </c>
      <c r="E146" s="1">
        <v>0</v>
      </c>
      <c r="F146" s="1">
        <v>0</v>
      </c>
      <c r="G146" s="1">
        <v>0</v>
      </c>
      <c r="H146" s="1">
        <v>125</v>
      </c>
    </row>
    <row r="147" spans="1:8" x14ac:dyDescent="0.2">
      <c r="A147" t="s">
        <v>83</v>
      </c>
      <c r="B147" t="s">
        <v>15</v>
      </c>
      <c r="C147" s="2">
        <v>1</v>
      </c>
      <c r="D147" s="1">
        <v>0</v>
      </c>
      <c r="E147" s="1">
        <v>29.99</v>
      </c>
      <c r="F147" s="1">
        <v>0</v>
      </c>
      <c r="G147" s="1">
        <v>0</v>
      </c>
      <c r="H147" s="1">
        <v>0</v>
      </c>
    </row>
    <row r="148" spans="1:8" x14ac:dyDescent="0.2">
      <c r="A148" t="s">
        <v>84</v>
      </c>
      <c r="B148" t="s">
        <v>15</v>
      </c>
      <c r="C148" s="2">
        <v>1</v>
      </c>
      <c r="D148" s="1">
        <v>44.79</v>
      </c>
      <c r="E148" s="1">
        <v>0</v>
      </c>
      <c r="F148" s="1">
        <v>0</v>
      </c>
      <c r="G148" s="1">
        <v>4.8</v>
      </c>
      <c r="H148" s="1">
        <v>39.99</v>
      </c>
    </row>
    <row r="149" spans="1:8" x14ac:dyDescent="0.2">
      <c r="A149" t="s">
        <v>88</v>
      </c>
      <c r="B149" t="s">
        <v>15</v>
      </c>
      <c r="C149" s="2">
        <v>1</v>
      </c>
      <c r="D149" s="1">
        <v>33.299999999999997</v>
      </c>
      <c r="E149" s="1">
        <v>8</v>
      </c>
      <c r="F149" s="1">
        <v>21.12</v>
      </c>
      <c r="G149" s="1">
        <v>1.3</v>
      </c>
      <c r="H149" s="1">
        <v>10.88</v>
      </c>
    </row>
    <row r="150" spans="1:8" x14ac:dyDescent="0.2">
      <c r="A150" t="s">
        <v>89</v>
      </c>
      <c r="B150" t="s">
        <v>15</v>
      </c>
      <c r="C150" s="2">
        <v>1</v>
      </c>
      <c r="D150" s="1">
        <v>29.99</v>
      </c>
      <c r="E150" s="1">
        <v>0</v>
      </c>
      <c r="F150" s="1">
        <v>0</v>
      </c>
      <c r="G150" s="1">
        <v>0</v>
      </c>
      <c r="H150" s="1">
        <v>29.99</v>
      </c>
    </row>
    <row r="151" spans="1:8" x14ac:dyDescent="0.2">
      <c r="A151" t="s">
        <v>92</v>
      </c>
      <c r="B151" t="s">
        <v>15</v>
      </c>
      <c r="C151" s="2">
        <v>1</v>
      </c>
      <c r="D151" s="1">
        <v>0</v>
      </c>
      <c r="E151" s="1">
        <v>39.99</v>
      </c>
      <c r="F151" s="1">
        <v>0</v>
      </c>
      <c r="G151" s="1">
        <v>0</v>
      </c>
      <c r="H151" s="1">
        <v>0</v>
      </c>
    </row>
    <row r="152" spans="1:8" x14ac:dyDescent="0.2">
      <c r="A152" t="s">
        <v>94</v>
      </c>
      <c r="B152" t="s">
        <v>15</v>
      </c>
      <c r="C152" s="2">
        <v>1</v>
      </c>
      <c r="D152" s="1">
        <v>29.99</v>
      </c>
      <c r="E152" s="1">
        <v>0</v>
      </c>
      <c r="F152" s="1">
        <v>0</v>
      </c>
      <c r="G152" s="1">
        <v>0</v>
      </c>
      <c r="H152" s="1">
        <v>29.99</v>
      </c>
    </row>
    <row r="153" spans="1:8" x14ac:dyDescent="0.2">
      <c r="A153" t="s">
        <v>95</v>
      </c>
      <c r="B153" t="s">
        <v>15</v>
      </c>
      <c r="C153" s="2">
        <v>1</v>
      </c>
      <c r="D153" s="1">
        <v>112</v>
      </c>
      <c r="E153" s="1">
        <v>25</v>
      </c>
      <c r="F153" s="1">
        <v>0</v>
      </c>
      <c r="G153" s="1">
        <v>12</v>
      </c>
      <c r="H153" s="1">
        <v>100</v>
      </c>
    </row>
    <row r="154" spans="1:8" x14ac:dyDescent="0.2">
      <c r="A154" t="s">
        <v>98</v>
      </c>
      <c r="B154" t="s">
        <v>15</v>
      </c>
      <c r="C154" s="2">
        <v>1</v>
      </c>
      <c r="D154" s="1">
        <v>39.99</v>
      </c>
      <c r="E154" s="1">
        <v>0</v>
      </c>
      <c r="F154" s="1">
        <v>0</v>
      </c>
      <c r="G154" s="1">
        <v>0</v>
      </c>
      <c r="H154" s="1">
        <v>39.99</v>
      </c>
    </row>
    <row r="155" spans="1:8" x14ac:dyDescent="0.2">
      <c r="A155" t="s">
        <v>100</v>
      </c>
      <c r="B155" t="s">
        <v>15</v>
      </c>
      <c r="C155" s="2">
        <v>1</v>
      </c>
      <c r="D155" s="1">
        <v>29.99</v>
      </c>
      <c r="E155" s="1">
        <v>0</v>
      </c>
      <c r="F155" s="1">
        <v>0</v>
      </c>
      <c r="G155" s="1">
        <v>0</v>
      </c>
      <c r="H155" s="1">
        <v>29.99</v>
      </c>
    </row>
    <row r="156" spans="1:8" x14ac:dyDescent="0.2">
      <c r="A156" t="s">
        <v>102</v>
      </c>
      <c r="B156" t="s">
        <v>15</v>
      </c>
      <c r="C156" s="2">
        <v>1</v>
      </c>
      <c r="D156" s="1">
        <v>37.06</v>
      </c>
      <c r="E156" s="1">
        <v>0</v>
      </c>
      <c r="F156" s="1">
        <v>17.48</v>
      </c>
      <c r="G156" s="1">
        <v>2.1</v>
      </c>
      <c r="H156" s="1">
        <v>17.48</v>
      </c>
    </row>
    <row r="157" spans="1:8" x14ac:dyDescent="0.2">
      <c r="A157" t="s">
        <v>110</v>
      </c>
      <c r="B157" t="s">
        <v>15</v>
      </c>
      <c r="C157" s="2">
        <v>1</v>
      </c>
      <c r="D157" s="1">
        <v>29.95</v>
      </c>
      <c r="E157" s="1">
        <v>0</v>
      </c>
      <c r="F157" s="1">
        <v>0</v>
      </c>
      <c r="G157" s="1">
        <v>0</v>
      </c>
      <c r="H157" s="1">
        <v>29.95</v>
      </c>
    </row>
    <row r="158" spans="1:8" x14ac:dyDescent="0.2">
      <c r="A158" t="s">
        <v>114</v>
      </c>
      <c r="B158" t="s">
        <v>15</v>
      </c>
      <c r="C158" s="2">
        <v>1</v>
      </c>
      <c r="D158" s="1">
        <v>174.97</v>
      </c>
      <c r="E158" s="1">
        <v>74.98</v>
      </c>
      <c r="F158" s="1">
        <v>87.49</v>
      </c>
      <c r="G158" s="1">
        <v>0</v>
      </c>
      <c r="H158" s="1">
        <v>87.48</v>
      </c>
    </row>
    <row r="159" spans="1:8" x14ac:dyDescent="0.2">
      <c r="A159" t="s">
        <v>115</v>
      </c>
      <c r="B159" t="s">
        <v>15</v>
      </c>
      <c r="C159" s="2">
        <v>1</v>
      </c>
      <c r="D159" s="1">
        <v>31.45</v>
      </c>
      <c r="E159" s="1">
        <v>3.5</v>
      </c>
      <c r="F159" s="1">
        <v>15.73</v>
      </c>
      <c r="G159" s="1">
        <v>0</v>
      </c>
      <c r="H159" s="1">
        <v>15.72</v>
      </c>
    </row>
    <row r="160" spans="1:8" x14ac:dyDescent="0.2">
      <c r="A160" t="s">
        <v>117</v>
      </c>
      <c r="B160" t="s">
        <v>63</v>
      </c>
      <c r="C160" s="2">
        <v>1</v>
      </c>
      <c r="D160" s="1">
        <v>33.590000000000003</v>
      </c>
      <c r="E160" s="1">
        <v>0</v>
      </c>
      <c r="F160" s="1">
        <v>0</v>
      </c>
      <c r="G160" s="1">
        <v>3.6</v>
      </c>
      <c r="H160" s="1">
        <v>29.99</v>
      </c>
    </row>
    <row r="161" spans="1:8" x14ac:dyDescent="0.2">
      <c r="A161" t="s">
        <v>120</v>
      </c>
      <c r="B161" t="s">
        <v>15</v>
      </c>
      <c r="C161" s="2">
        <v>1</v>
      </c>
      <c r="D161" s="1">
        <v>0</v>
      </c>
      <c r="E161" s="1">
        <v>29.95</v>
      </c>
      <c r="F161" s="1">
        <v>0</v>
      </c>
      <c r="G161" s="1">
        <v>0</v>
      </c>
      <c r="H161" s="1">
        <v>0</v>
      </c>
    </row>
    <row r="162" spans="1:8" x14ac:dyDescent="0.2">
      <c r="A162" t="s">
        <v>121</v>
      </c>
      <c r="B162" t="s">
        <v>15</v>
      </c>
      <c r="C162" s="2">
        <v>1</v>
      </c>
      <c r="D162" s="1">
        <v>14.97</v>
      </c>
      <c r="E162" s="1">
        <v>14.98</v>
      </c>
      <c r="F162" s="1">
        <v>0</v>
      </c>
      <c r="G162" s="1">
        <v>0</v>
      </c>
      <c r="H162" s="1">
        <v>14.97</v>
      </c>
    </row>
    <row r="163" spans="1:8" x14ac:dyDescent="0.2">
      <c r="A163" t="s">
        <v>122</v>
      </c>
      <c r="B163" t="s">
        <v>15</v>
      </c>
      <c r="C163" s="2">
        <v>1</v>
      </c>
      <c r="D163" s="1">
        <v>55.94</v>
      </c>
      <c r="E163" s="1">
        <v>0</v>
      </c>
      <c r="F163" s="1">
        <v>0</v>
      </c>
      <c r="G163" s="1">
        <v>5.99</v>
      </c>
      <c r="H163" s="1">
        <v>49.95</v>
      </c>
    </row>
    <row r="164" spans="1:8" x14ac:dyDescent="0.2">
      <c r="A164" t="s">
        <v>124</v>
      </c>
      <c r="B164" t="s">
        <v>63</v>
      </c>
      <c r="C164" s="2">
        <v>1</v>
      </c>
      <c r="D164" s="1">
        <v>33.590000000000003</v>
      </c>
      <c r="E164" s="1">
        <v>0</v>
      </c>
      <c r="F164" s="1">
        <v>0</v>
      </c>
      <c r="G164" s="1">
        <v>3.6</v>
      </c>
      <c r="H164" s="1">
        <v>29.99</v>
      </c>
    </row>
    <row r="165" spans="1:8" x14ac:dyDescent="0.2">
      <c r="A165" t="s">
        <v>126</v>
      </c>
      <c r="B165" t="s">
        <v>63</v>
      </c>
      <c r="C165" s="2">
        <v>1</v>
      </c>
      <c r="D165" s="1">
        <v>33.590000000000003</v>
      </c>
      <c r="E165" s="1">
        <v>0</v>
      </c>
      <c r="F165" s="1">
        <v>0</v>
      </c>
      <c r="G165" s="1">
        <v>3.6</v>
      </c>
      <c r="H165" s="1">
        <v>29.99</v>
      </c>
    </row>
    <row r="166" spans="1:8" x14ac:dyDescent="0.2">
      <c r="A166" t="s">
        <v>128</v>
      </c>
      <c r="B166" t="s">
        <v>15</v>
      </c>
      <c r="C166" s="2">
        <v>1</v>
      </c>
      <c r="D166" s="1">
        <v>29.95</v>
      </c>
      <c r="E166" s="1">
        <v>0</v>
      </c>
      <c r="F166" s="1">
        <v>0</v>
      </c>
      <c r="G166" s="1">
        <v>0</v>
      </c>
      <c r="H166" s="1">
        <v>29.95</v>
      </c>
    </row>
    <row r="167" spans="1:8" x14ac:dyDescent="0.2">
      <c r="A167" t="s">
        <v>131</v>
      </c>
      <c r="B167" t="s">
        <v>15</v>
      </c>
      <c r="C167" s="2">
        <v>1</v>
      </c>
      <c r="D167" s="1">
        <v>223.94</v>
      </c>
      <c r="E167" s="1">
        <v>0</v>
      </c>
      <c r="F167" s="1">
        <v>0</v>
      </c>
      <c r="G167" s="1">
        <v>23.99</v>
      </c>
      <c r="H167" s="1">
        <v>199.95</v>
      </c>
    </row>
    <row r="168" spans="1:8" x14ac:dyDescent="0.2">
      <c r="A168" t="s">
        <v>134</v>
      </c>
      <c r="B168" t="s">
        <v>15</v>
      </c>
      <c r="C168" s="2">
        <v>1</v>
      </c>
      <c r="D168" s="1">
        <v>14.97</v>
      </c>
      <c r="E168" s="1">
        <v>14.98</v>
      </c>
      <c r="F168" s="1">
        <v>0</v>
      </c>
      <c r="G168" s="1">
        <v>0</v>
      </c>
      <c r="H168" s="1">
        <v>14.97</v>
      </c>
    </row>
    <row r="169" spans="1:8" x14ac:dyDescent="0.2">
      <c r="A169" t="s">
        <v>135</v>
      </c>
      <c r="B169" t="s">
        <v>15</v>
      </c>
      <c r="C169" s="2">
        <v>1</v>
      </c>
      <c r="D169" s="1">
        <v>224</v>
      </c>
      <c r="E169" s="1">
        <v>0</v>
      </c>
      <c r="F169" s="1">
        <v>0</v>
      </c>
      <c r="G169" s="1">
        <v>24</v>
      </c>
      <c r="H169" s="1">
        <v>200</v>
      </c>
    </row>
    <row r="170" spans="1:8" x14ac:dyDescent="0.2">
      <c r="A170" t="s">
        <v>136</v>
      </c>
      <c r="B170" t="s">
        <v>15</v>
      </c>
      <c r="C170" s="2">
        <v>1</v>
      </c>
      <c r="D170" s="1">
        <v>37.06</v>
      </c>
      <c r="E170" s="1">
        <v>0</v>
      </c>
      <c r="F170" s="1">
        <v>17.48</v>
      </c>
      <c r="G170" s="1">
        <v>2.1</v>
      </c>
      <c r="H170" s="1">
        <v>17.48</v>
      </c>
    </row>
    <row r="171" spans="1:8" x14ac:dyDescent="0.2">
      <c r="A171" t="s">
        <v>138</v>
      </c>
      <c r="B171" t="s">
        <v>15</v>
      </c>
      <c r="C171" s="2">
        <v>1</v>
      </c>
      <c r="D171" s="1">
        <v>33.54</v>
      </c>
      <c r="E171" s="1">
        <v>0</v>
      </c>
      <c r="F171" s="1">
        <v>0</v>
      </c>
      <c r="G171" s="1">
        <v>3.59</v>
      </c>
      <c r="H171" s="1">
        <v>29.95</v>
      </c>
    </row>
    <row r="172" spans="1:8" x14ac:dyDescent="0.2">
      <c r="A172" t="s">
        <v>141</v>
      </c>
      <c r="B172" t="s">
        <v>15</v>
      </c>
      <c r="C172" s="2">
        <v>1</v>
      </c>
      <c r="D172" s="1">
        <v>0</v>
      </c>
      <c r="E172" s="1">
        <v>29.95</v>
      </c>
      <c r="F172" s="1">
        <v>0</v>
      </c>
      <c r="G172" s="1">
        <v>0</v>
      </c>
      <c r="H172" s="1">
        <v>0</v>
      </c>
    </row>
    <row r="173" spans="1:8" x14ac:dyDescent="0.2">
      <c r="A173" t="s">
        <v>143</v>
      </c>
      <c r="B173" t="s">
        <v>15</v>
      </c>
      <c r="C173" s="2">
        <v>1</v>
      </c>
      <c r="D173" s="1">
        <v>95.4</v>
      </c>
      <c r="E173" s="1">
        <v>0</v>
      </c>
      <c r="F173" s="1">
        <v>45</v>
      </c>
      <c r="G173" s="1">
        <v>5.4</v>
      </c>
      <c r="H173" s="1">
        <v>45</v>
      </c>
    </row>
    <row r="174" spans="1:8" x14ac:dyDescent="0.2">
      <c r="A174" t="s">
        <v>144</v>
      </c>
      <c r="B174" t="s">
        <v>15</v>
      </c>
      <c r="C174" s="2">
        <v>1</v>
      </c>
      <c r="D174" s="1">
        <v>53.96</v>
      </c>
      <c r="E174" s="1">
        <v>6</v>
      </c>
      <c r="F174" s="1">
        <v>26.98</v>
      </c>
      <c r="G174" s="1">
        <v>0</v>
      </c>
      <c r="H174" s="1">
        <v>26.98</v>
      </c>
    </row>
    <row r="175" spans="1:8" x14ac:dyDescent="0.2">
      <c r="A175" t="s">
        <v>146</v>
      </c>
      <c r="B175" t="s">
        <v>15</v>
      </c>
      <c r="C175" s="2">
        <v>1</v>
      </c>
      <c r="D175" s="1">
        <v>26.84</v>
      </c>
      <c r="E175" s="1">
        <v>5.99</v>
      </c>
      <c r="F175" s="1">
        <v>0</v>
      </c>
      <c r="G175" s="1">
        <v>2.88</v>
      </c>
      <c r="H175" s="1">
        <v>23.96</v>
      </c>
    </row>
    <row r="176" spans="1:8" x14ac:dyDescent="0.2">
      <c r="A176" t="s">
        <v>149</v>
      </c>
      <c r="B176" t="s">
        <v>15</v>
      </c>
      <c r="C176" s="2">
        <v>1</v>
      </c>
      <c r="D176" s="1">
        <v>23.96</v>
      </c>
      <c r="E176" s="1">
        <v>5.99</v>
      </c>
      <c r="F176" s="1">
        <v>11.98</v>
      </c>
      <c r="G176" s="1">
        <v>0</v>
      </c>
      <c r="H176" s="1">
        <v>11.98</v>
      </c>
    </row>
    <row r="177" spans="1:8" x14ac:dyDescent="0.2">
      <c r="A177" t="s">
        <v>152</v>
      </c>
      <c r="B177" t="s">
        <v>15</v>
      </c>
      <c r="C177" s="2">
        <v>1</v>
      </c>
      <c r="D177" s="1">
        <v>59.96</v>
      </c>
      <c r="E177" s="1">
        <v>0</v>
      </c>
      <c r="F177" s="1">
        <v>29.98</v>
      </c>
      <c r="G177" s="1">
        <v>0</v>
      </c>
      <c r="H177" s="1">
        <v>29.98</v>
      </c>
    </row>
    <row r="178" spans="1:8" x14ac:dyDescent="0.2">
      <c r="A178" t="s">
        <v>153</v>
      </c>
      <c r="B178" t="s">
        <v>15</v>
      </c>
      <c r="C178" s="2">
        <v>1</v>
      </c>
      <c r="D178" s="1">
        <v>33.54</v>
      </c>
      <c r="E178" s="1">
        <v>0</v>
      </c>
      <c r="F178" s="1">
        <v>0</v>
      </c>
      <c r="G178" s="1">
        <v>3.59</v>
      </c>
      <c r="H178" s="1">
        <v>29.95</v>
      </c>
    </row>
    <row r="179" spans="1:8" x14ac:dyDescent="0.2">
      <c r="A179" t="s">
        <v>154</v>
      </c>
      <c r="B179" t="s">
        <v>15</v>
      </c>
      <c r="C179" s="2">
        <v>1</v>
      </c>
      <c r="D179" s="1">
        <v>0</v>
      </c>
      <c r="E179" s="1">
        <v>99.95</v>
      </c>
      <c r="F179" s="1">
        <v>0</v>
      </c>
      <c r="G179" s="1">
        <v>0</v>
      </c>
      <c r="H179" s="1">
        <v>0</v>
      </c>
    </row>
    <row r="180" spans="1:8" x14ac:dyDescent="0.2">
      <c r="A180" t="s">
        <v>155</v>
      </c>
      <c r="B180" t="s">
        <v>15</v>
      </c>
      <c r="C180" s="2">
        <v>1</v>
      </c>
      <c r="D180" s="1">
        <v>59.97</v>
      </c>
      <c r="E180" s="1">
        <v>39.979999999999997</v>
      </c>
      <c r="F180" s="1">
        <v>0</v>
      </c>
      <c r="G180" s="1">
        <v>0</v>
      </c>
      <c r="H180" s="1">
        <v>59.97</v>
      </c>
    </row>
    <row r="181" spans="1:8" x14ac:dyDescent="0.2">
      <c r="A181" t="s">
        <v>157</v>
      </c>
      <c r="B181" t="s">
        <v>15</v>
      </c>
      <c r="C181" s="2">
        <v>1</v>
      </c>
      <c r="D181" s="1">
        <v>0</v>
      </c>
      <c r="E181" s="1">
        <v>99.95</v>
      </c>
      <c r="F181" s="1">
        <v>0</v>
      </c>
      <c r="G181" s="1">
        <v>0</v>
      </c>
      <c r="H181" s="1">
        <v>0</v>
      </c>
    </row>
    <row r="182" spans="1:8" x14ac:dyDescent="0.2">
      <c r="A182" t="s">
        <v>158</v>
      </c>
      <c r="B182" t="s">
        <v>15</v>
      </c>
      <c r="C182" s="2">
        <v>1</v>
      </c>
      <c r="D182" s="1">
        <v>49.97</v>
      </c>
      <c r="E182" s="1">
        <v>49.98</v>
      </c>
      <c r="F182" s="1">
        <v>0</v>
      </c>
      <c r="G182" s="1">
        <v>0</v>
      </c>
      <c r="H182" s="1">
        <v>49.97</v>
      </c>
    </row>
    <row r="183" spans="1:8" x14ac:dyDescent="0.2">
      <c r="A183" t="s">
        <v>159</v>
      </c>
      <c r="B183" t="s">
        <v>15</v>
      </c>
      <c r="C183" s="2">
        <v>1</v>
      </c>
      <c r="D183" s="1">
        <v>0</v>
      </c>
      <c r="E183" s="1">
        <v>99.95</v>
      </c>
      <c r="F183" s="1">
        <v>0</v>
      </c>
      <c r="G183" s="1">
        <v>0</v>
      </c>
      <c r="H183" s="1">
        <v>0</v>
      </c>
    </row>
    <row r="184" spans="1:8" x14ac:dyDescent="0.2">
      <c r="A184" t="s">
        <v>160</v>
      </c>
      <c r="B184" t="s">
        <v>15</v>
      </c>
      <c r="C184" s="2">
        <v>1</v>
      </c>
      <c r="D184" s="1">
        <v>49.97</v>
      </c>
      <c r="E184" s="1">
        <v>49.98</v>
      </c>
      <c r="F184" s="1">
        <v>0</v>
      </c>
      <c r="G184" s="1">
        <v>0</v>
      </c>
      <c r="H184" s="1">
        <v>49.97</v>
      </c>
    </row>
    <row r="185" spans="1:8" x14ac:dyDescent="0.2">
      <c r="A185" t="s">
        <v>162</v>
      </c>
      <c r="B185" t="s">
        <v>15</v>
      </c>
      <c r="C185" s="2">
        <v>1</v>
      </c>
      <c r="D185" s="1">
        <v>55.94</v>
      </c>
      <c r="E185" s="1">
        <v>0</v>
      </c>
      <c r="F185" s="1">
        <v>0</v>
      </c>
      <c r="G185" s="1">
        <v>5.99</v>
      </c>
      <c r="H185" s="1">
        <v>49.95</v>
      </c>
    </row>
    <row r="186" spans="1:8" x14ac:dyDescent="0.2">
      <c r="A186" t="s">
        <v>164</v>
      </c>
      <c r="B186" t="s">
        <v>15</v>
      </c>
      <c r="C186" s="2">
        <v>1</v>
      </c>
      <c r="D186" s="1">
        <v>149.96</v>
      </c>
      <c r="E186" s="1">
        <v>0</v>
      </c>
      <c r="F186" s="1">
        <v>74.98</v>
      </c>
      <c r="G186" s="1">
        <v>0</v>
      </c>
      <c r="H186" s="1">
        <v>74.98</v>
      </c>
    </row>
    <row r="187" spans="1:8" x14ac:dyDescent="0.2">
      <c r="A187" t="s">
        <v>165</v>
      </c>
      <c r="B187" t="s">
        <v>15</v>
      </c>
      <c r="C187" s="2">
        <v>1</v>
      </c>
      <c r="D187" s="1">
        <v>31.32</v>
      </c>
      <c r="E187" s="1">
        <v>6.99</v>
      </c>
      <c r="F187" s="1">
        <v>0</v>
      </c>
      <c r="G187" s="1">
        <v>3.36</v>
      </c>
      <c r="H187" s="1">
        <v>27.96</v>
      </c>
    </row>
    <row r="188" spans="1:8" x14ac:dyDescent="0.2">
      <c r="A188" t="s">
        <v>168</v>
      </c>
      <c r="B188" t="s">
        <v>40</v>
      </c>
      <c r="C188" s="2">
        <v>1</v>
      </c>
      <c r="D188" s="1">
        <v>150</v>
      </c>
      <c r="E188" s="1">
        <v>0</v>
      </c>
      <c r="F188" s="1">
        <v>0</v>
      </c>
      <c r="G188" s="1">
        <v>0</v>
      </c>
      <c r="H188" s="1">
        <v>150</v>
      </c>
    </row>
    <row r="189" spans="1:8" x14ac:dyDescent="0.2">
      <c r="A189" t="s">
        <v>170</v>
      </c>
      <c r="B189" t="s">
        <v>15</v>
      </c>
      <c r="C189" s="2">
        <v>1</v>
      </c>
      <c r="D189" s="1">
        <v>49.95</v>
      </c>
      <c r="E189" s="1">
        <v>0</v>
      </c>
      <c r="F189" s="1">
        <v>0</v>
      </c>
      <c r="G189" s="1">
        <v>0</v>
      </c>
      <c r="H189" s="1">
        <v>49.95</v>
      </c>
    </row>
    <row r="190" spans="1:8" x14ac:dyDescent="0.2">
      <c r="A190" t="s">
        <v>171</v>
      </c>
      <c r="B190" t="s">
        <v>15</v>
      </c>
      <c r="C190" s="2">
        <v>1</v>
      </c>
      <c r="D190" s="1">
        <v>0</v>
      </c>
      <c r="E190" s="1">
        <v>49.95</v>
      </c>
      <c r="F190" s="1">
        <v>0</v>
      </c>
      <c r="G190" s="1">
        <v>0</v>
      </c>
      <c r="H190" s="1">
        <v>0</v>
      </c>
    </row>
    <row r="191" spans="1:8" x14ac:dyDescent="0.2">
      <c r="A191" t="s">
        <v>172</v>
      </c>
      <c r="B191" t="s">
        <v>15</v>
      </c>
      <c r="C191" s="2">
        <v>1</v>
      </c>
      <c r="D191" s="1">
        <v>0</v>
      </c>
      <c r="E191" s="1">
        <v>49.95</v>
      </c>
      <c r="F191" s="1">
        <v>0</v>
      </c>
      <c r="G191" s="1">
        <v>0</v>
      </c>
      <c r="H191" s="1">
        <v>0</v>
      </c>
    </row>
    <row r="192" spans="1:8" x14ac:dyDescent="0.2">
      <c r="A192" t="s">
        <v>168</v>
      </c>
      <c r="B192" t="s">
        <v>40</v>
      </c>
      <c r="C192" s="2">
        <v>1</v>
      </c>
      <c r="D192" s="1">
        <v>150</v>
      </c>
      <c r="E192" s="1">
        <v>0</v>
      </c>
      <c r="F192" s="1">
        <v>45</v>
      </c>
      <c r="G192" s="1">
        <v>0</v>
      </c>
      <c r="H192" s="1">
        <v>105</v>
      </c>
    </row>
    <row r="193" spans="1:8" x14ac:dyDescent="0.2">
      <c r="A193" t="s">
        <v>179</v>
      </c>
      <c r="B193" t="s">
        <v>15</v>
      </c>
      <c r="C193" s="2">
        <v>1</v>
      </c>
      <c r="D193" s="1">
        <v>55.94</v>
      </c>
      <c r="E193" s="1">
        <v>0</v>
      </c>
      <c r="F193" s="1">
        <v>0</v>
      </c>
      <c r="G193" s="1">
        <v>5.99</v>
      </c>
      <c r="H193" s="1">
        <v>49.95</v>
      </c>
    </row>
    <row r="194" spans="1:8" x14ac:dyDescent="0.2">
      <c r="A194" t="s">
        <v>181</v>
      </c>
      <c r="B194" t="s">
        <v>15</v>
      </c>
      <c r="C194" s="2">
        <v>1</v>
      </c>
      <c r="D194" s="1">
        <v>33.549999999999997</v>
      </c>
      <c r="E194" s="1">
        <v>0</v>
      </c>
      <c r="F194" s="1">
        <v>0</v>
      </c>
      <c r="G194" s="1">
        <v>3.6</v>
      </c>
      <c r="H194" s="1">
        <v>29.95</v>
      </c>
    </row>
    <row r="195" spans="1:8" x14ac:dyDescent="0.2">
      <c r="A195" t="s">
        <v>186</v>
      </c>
      <c r="B195" t="s">
        <v>15</v>
      </c>
      <c r="C195" s="2">
        <v>1</v>
      </c>
      <c r="D195" s="1">
        <v>26.84</v>
      </c>
      <c r="E195" s="1">
        <v>5.99</v>
      </c>
      <c r="F195" s="1">
        <v>0</v>
      </c>
      <c r="G195" s="1">
        <v>2.88</v>
      </c>
      <c r="H195" s="1">
        <v>23.96</v>
      </c>
    </row>
    <row r="196" spans="1:8" x14ac:dyDescent="0.2">
      <c r="A196" t="s">
        <v>187</v>
      </c>
      <c r="B196" t="s">
        <v>15</v>
      </c>
      <c r="C196" s="2">
        <v>1</v>
      </c>
      <c r="D196" s="1">
        <v>39.15</v>
      </c>
      <c r="E196" s="1">
        <v>0</v>
      </c>
      <c r="F196" s="1">
        <v>0</v>
      </c>
      <c r="G196" s="1">
        <v>4.2</v>
      </c>
      <c r="H196" s="1">
        <v>34.950000000000003</v>
      </c>
    </row>
    <row r="197" spans="1:8" x14ac:dyDescent="0.2">
      <c r="A197" t="s">
        <v>188</v>
      </c>
      <c r="B197" t="s">
        <v>15</v>
      </c>
      <c r="C197" s="2">
        <v>1</v>
      </c>
      <c r="D197" s="1">
        <v>39.14</v>
      </c>
      <c r="E197" s="1">
        <v>0</v>
      </c>
      <c r="F197" s="1">
        <v>0</v>
      </c>
      <c r="G197" s="1">
        <v>4.1900000000000004</v>
      </c>
      <c r="H197" s="1">
        <v>34.950000000000003</v>
      </c>
    </row>
    <row r="198" spans="1:8" x14ac:dyDescent="0.2">
      <c r="A198" t="s">
        <v>189</v>
      </c>
      <c r="B198" t="s">
        <v>15</v>
      </c>
      <c r="C198" s="2">
        <v>1</v>
      </c>
      <c r="D198" s="1">
        <v>27.96</v>
      </c>
      <c r="E198" s="1">
        <v>6.99</v>
      </c>
      <c r="F198" s="1">
        <v>0</v>
      </c>
      <c r="G198" s="1">
        <v>0</v>
      </c>
      <c r="H198" s="1">
        <v>27.96</v>
      </c>
    </row>
    <row r="199" spans="1:8" x14ac:dyDescent="0.2">
      <c r="A199" t="s">
        <v>168</v>
      </c>
      <c r="B199" t="s">
        <v>40</v>
      </c>
      <c r="C199" s="2">
        <v>1</v>
      </c>
      <c r="D199" s="1">
        <v>600</v>
      </c>
      <c r="E199" s="1">
        <v>0</v>
      </c>
      <c r="F199" s="1">
        <v>0</v>
      </c>
      <c r="G199" s="1">
        <v>0</v>
      </c>
      <c r="H199" s="1">
        <v>600</v>
      </c>
    </row>
    <row r="200" spans="1:8" x14ac:dyDescent="0.2">
      <c r="A200" t="s">
        <v>168</v>
      </c>
      <c r="B200" t="s">
        <v>40</v>
      </c>
      <c r="C200" s="2">
        <v>1</v>
      </c>
      <c r="D200" s="1">
        <v>1120</v>
      </c>
      <c r="E200" s="1">
        <v>0</v>
      </c>
      <c r="F200" s="1">
        <v>0</v>
      </c>
      <c r="G200" s="1">
        <v>120</v>
      </c>
      <c r="H200" s="1">
        <v>1000</v>
      </c>
    </row>
    <row r="201" spans="1:8" x14ac:dyDescent="0.2">
      <c r="A201" t="s">
        <v>194</v>
      </c>
      <c r="B201" t="s">
        <v>15</v>
      </c>
      <c r="C201" s="2">
        <v>1</v>
      </c>
      <c r="D201" s="1">
        <v>0</v>
      </c>
      <c r="E201" s="1">
        <v>49.95</v>
      </c>
      <c r="F201" s="1">
        <v>0</v>
      </c>
      <c r="G201" s="1">
        <v>0</v>
      </c>
      <c r="H201" s="1">
        <v>0</v>
      </c>
    </row>
    <row r="202" spans="1:8" x14ac:dyDescent="0.2">
      <c r="A202" t="s">
        <v>195</v>
      </c>
      <c r="B202" t="s">
        <v>15</v>
      </c>
      <c r="C202" s="2">
        <v>1</v>
      </c>
      <c r="D202" s="1">
        <v>27.96</v>
      </c>
      <c r="E202" s="1">
        <v>24.98</v>
      </c>
      <c r="F202" s="1">
        <v>0</v>
      </c>
      <c r="G202" s="1">
        <v>2.99</v>
      </c>
      <c r="H202" s="1">
        <v>24.97</v>
      </c>
    </row>
    <row r="203" spans="1:8" x14ac:dyDescent="0.2">
      <c r="A203" t="s">
        <v>168</v>
      </c>
      <c r="B203" t="s">
        <v>40</v>
      </c>
      <c r="C203" s="2">
        <v>1</v>
      </c>
      <c r="D203" s="1">
        <v>1000</v>
      </c>
      <c r="E203" s="1">
        <v>0</v>
      </c>
      <c r="F203" s="1">
        <v>0</v>
      </c>
      <c r="G203" s="1">
        <v>0</v>
      </c>
      <c r="H203" s="1">
        <v>1000</v>
      </c>
    </row>
    <row r="204" spans="1:8" x14ac:dyDescent="0.2">
      <c r="A204" t="s">
        <v>197</v>
      </c>
      <c r="B204" t="s">
        <v>15</v>
      </c>
      <c r="C204" s="2">
        <v>1</v>
      </c>
      <c r="D204" s="1">
        <v>34.950000000000003</v>
      </c>
      <c r="E204" s="1">
        <v>0</v>
      </c>
      <c r="F204" s="1">
        <v>0</v>
      </c>
      <c r="G204" s="1">
        <v>0</v>
      </c>
      <c r="H204" s="1">
        <v>34.950000000000003</v>
      </c>
    </row>
    <row r="205" spans="1:8" x14ac:dyDescent="0.2">
      <c r="A205" t="s">
        <v>199</v>
      </c>
      <c r="B205" t="s">
        <v>15</v>
      </c>
      <c r="C205" s="2">
        <v>1</v>
      </c>
      <c r="D205" s="1">
        <v>39.14</v>
      </c>
      <c r="E205" s="1">
        <v>0</v>
      </c>
      <c r="F205" s="1">
        <v>0</v>
      </c>
      <c r="G205" s="1">
        <v>4.1900000000000004</v>
      </c>
      <c r="H205" s="1">
        <v>34.950000000000003</v>
      </c>
    </row>
    <row r="206" spans="1:8" x14ac:dyDescent="0.2">
      <c r="A206" t="s">
        <v>168</v>
      </c>
      <c r="B206" t="s">
        <v>40</v>
      </c>
      <c r="C206" s="2">
        <v>1</v>
      </c>
      <c r="D206" s="1">
        <v>560</v>
      </c>
      <c r="E206" s="1">
        <v>0</v>
      </c>
      <c r="F206" s="1">
        <v>0</v>
      </c>
      <c r="G206" s="1">
        <v>60</v>
      </c>
      <c r="H206" s="1">
        <v>500</v>
      </c>
    </row>
    <row r="207" spans="1:8" x14ac:dyDescent="0.2">
      <c r="A207" t="s">
        <v>168</v>
      </c>
      <c r="B207" t="s">
        <v>40</v>
      </c>
      <c r="C207" s="2">
        <v>1</v>
      </c>
      <c r="D207" s="1">
        <v>120</v>
      </c>
      <c r="E207" s="1">
        <v>0</v>
      </c>
      <c r="F207" s="1">
        <v>0</v>
      </c>
      <c r="G207" s="1">
        <v>0</v>
      </c>
      <c r="H207" s="1">
        <v>120</v>
      </c>
    </row>
    <row r="208" spans="1:8" x14ac:dyDescent="0.2">
      <c r="A208" t="s">
        <v>203</v>
      </c>
      <c r="B208" t="s">
        <v>15</v>
      </c>
      <c r="C208" s="2">
        <v>1</v>
      </c>
      <c r="D208" s="1">
        <v>0</v>
      </c>
      <c r="E208" s="1">
        <v>34.950000000000003</v>
      </c>
      <c r="F208" s="1">
        <v>0</v>
      </c>
      <c r="G208" s="1">
        <v>0</v>
      </c>
      <c r="H208" s="1">
        <v>0</v>
      </c>
    </row>
    <row r="209" spans="1:8" x14ac:dyDescent="0.2">
      <c r="A209" t="s">
        <v>204</v>
      </c>
      <c r="B209" t="s">
        <v>15</v>
      </c>
      <c r="C209" s="2">
        <v>1</v>
      </c>
      <c r="D209" s="1">
        <v>34.950000000000003</v>
      </c>
      <c r="E209" s="1">
        <v>0</v>
      </c>
      <c r="F209" s="1">
        <v>0</v>
      </c>
      <c r="G209" s="1">
        <v>0</v>
      </c>
      <c r="H209" s="1">
        <v>34.950000000000003</v>
      </c>
    </row>
    <row r="210" spans="1:8" x14ac:dyDescent="0.2">
      <c r="A210" t="s">
        <v>208</v>
      </c>
      <c r="B210" t="s">
        <v>15</v>
      </c>
      <c r="C210" s="2">
        <v>1</v>
      </c>
      <c r="D210" s="1">
        <v>49.97</v>
      </c>
      <c r="E210" s="1">
        <v>49.98</v>
      </c>
      <c r="F210" s="1">
        <v>0</v>
      </c>
      <c r="G210" s="1">
        <v>0</v>
      </c>
      <c r="H210" s="1">
        <v>49.97</v>
      </c>
    </row>
    <row r="211" spans="1:8" x14ac:dyDescent="0.2">
      <c r="A211" t="s">
        <v>210</v>
      </c>
      <c r="B211" t="s">
        <v>15</v>
      </c>
      <c r="C211" s="2">
        <v>1</v>
      </c>
      <c r="D211" s="1">
        <v>37.06</v>
      </c>
      <c r="E211" s="1">
        <v>0</v>
      </c>
      <c r="F211" s="1">
        <v>17.48</v>
      </c>
      <c r="G211" s="1">
        <v>2.1</v>
      </c>
      <c r="H211" s="1">
        <v>17.48</v>
      </c>
    </row>
    <row r="212" spans="1:8" x14ac:dyDescent="0.2">
      <c r="A212" t="s">
        <v>212</v>
      </c>
      <c r="B212" t="s">
        <v>15</v>
      </c>
      <c r="C212" s="2">
        <v>1</v>
      </c>
      <c r="D212" s="1">
        <v>34.96</v>
      </c>
      <c r="E212" s="1">
        <v>0</v>
      </c>
      <c r="F212" s="1">
        <v>17.48</v>
      </c>
      <c r="G212" s="1">
        <v>0</v>
      </c>
      <c r="H212" s="1">
        <v>17.48</v>
      </c>
    </row>
    <row r="213" spans="1:8" x14ac:dyDescent="0.2">
      <c r="A213" t="s">
        <v>213</v>
      </c>
      <c r="B213" t="s">
        <v>15</v>
      </c>
      <c r="C213" s="2">
        <v>1</v>
      </c>
      <c r="D213" s="1">
        <v>49.95</v>
      </c>
      <c r="E213" s="1">
        <v>0</v>
      </c>
      <c r="F213" s="1">
        <v>0</v>
      </c>
      <c r="G213" s="1">
        <v>0</v>
      </c>
      <c r="H213" s="1">
        <v>49.95</v>
      </c>
    </row>
    <row r="214" spans="1:8" x14ac:dyDescent="0.2">
      <c r="A214" t="s">
        <v>214</v>
      </c>
      <c r="B214" t="s">
        <v>15</v>
      </c>
      <c r="C214" s="2">
        <v>1</v>
      </c>
      <c r="D214" s="1">
        <v>400</v>
      </c>
      <c r="E214" s="1">
        <v>0</v>
      </c>
      <c r="F214" s="1">
        <v>0</v>
      </c>
      <c r="G214" s="1">
        <v>0</v>
      </c>
      <c r="H214" s="1">
        <v>400</v>
      </c>
    </row>
    <row r="215" spans="1:8" x14ac:dyDescent="0.2">
      <c r="A215" t="s">
        <v>168</v>
      </c>
      <c r="B215" t="s">
        <v>40</v>
      </c>
      <c r="C215" s="2">
        <v>1</v>
      </c>
      <c r="D215" s="1">
        <v>1500</v>
      </c>
      <c r="E215" s="1">
        <v>0</v>
      </c>
      <c r="F215" s="1">
        <v>0</v>
      </c>
      <c r="G215" s="1">
        <v>0</v>
      </c>
      <c r="H215" s="1">
        <v>1500</v>
      </c>
    </row>
    <row r="216" spans="1:8" x14ac:dyDescent="0.2">
      <c r="A216" t="s">
        <v>217</v>
      </c>
      <c r="B216" t="s">
        <v>15</v>
      </c>
      <c r="C216" s="2">
        <v>1</v>
      </c>
      <c r="D216" s="1">
        <v>27.97</v>
      </c>
      <c r="E216" s="1">
        <v>24.98</v>
      </c>
      <c r="F216" s="1">
        <v>0</v>
      </c>
      <c r="G216" s="1">
        <v>3</v>
      </c>
      <c r="H216" s="1">
        <v>24.97</v>
      </c>
    </row>
    <row r="217" spans="1:8" x14ac:dyDescent="0.2">
      <c r="A217" t="s">
        <v>219</v>
      </c>
      <c r="B217" t="s">
        <v>15</v>
      </c>
      <c r="C217" s="2">
        <v>1</v>
      </c>
      <c r="D217" s="1">
        <v>34.950000000000003</v>
      </c>
      <c r="E217" s="1">
        <v>0</v>
      </c>
      <c r="F217" s="1">
        <v>0</v>
      </c>
      <c r="G217" s="1">
        <v>0</v>
      </c>
      <c r="H217" s="1">
        <v>34.950000000000003</v>
      </c>
    </row>
    <row r="218" spans="1:8" x14ac:dyDescent="0.2">
      <c r="A218" t="s">
        <v>220</v>
      </c>
      <c r="B218" t="s">
        <v>15</v>
      </c>
      <c r="C218" s="2">
        <v>1</v>
      </c>
      <c r="D218" s="1">
        <v>49.97</v>
      </c>
      <c r="E218" s="1">
        <v>49.98</v>
      </c>
      <c r="F218" s="1">
        <v>0</v>
      </c>
      <c r="G218" s="1">
        <v>0</v>
      </c>
      <c r="H218" s="1">
        <v>49.97</v>
      </c>
    </row>
    <row r="219" spans="1:8" x14ac:dyDescent="0.2">
      <c r="A219" t="s">
        <v>221</v>
      </c>
      <c r="B219" t="s">
        <v>15</v>
      </c>
      <c r="C219" s="2">
        <v>1</v>
      </c>
      <c r="D219" s="1">
        <v>34.950000000000003</v>
      </c>
      <c r="E219" s="1">
        <v>0</v>
      </c>
      <c r="F219" s="1">
        <v>0</v>
      </c>
      <c r="G219" s="1">
        <v>0</v>
      </c>
      <c r="H219" s="1">
        <v>34.950000000000003</v>
      </c>
    </row>
    <row r="220" spans="1:8" x14ac:dyDescent="0.2">
      <c r="A220" t="s">
        <v>222</v>
      </c>
      <c r="B220" t="s">
        <v>15</v>
      </c>
      <c r="C220" s="2">
        <v>1</v>
      </c>
      <c r="D220" s="1">
        <v>27.97</v>
      </c>
      <c r="E220" s="1">
        <v>24.98</v>
      </c>
      <c r="F220" s="1">
        <v>0</v>
      </c>
      <c r="G220" s="1">
        <v>3</v>
      </c>
      <c r="H220" s="1">
        <v>24.97</v>
      </c>
    </row>
    <row r="221" spans="1:8" x14ac:dyDescent="0.2">
      <c r="A221" t="s">
        <v>223</v>
      </c>
      <c r="B221" t="s">
        <v>15</v>
      </c>
      <c r="C221" s="2">
        <v>1</v>
      </c>
      <c r="D221" s="1">
        <v>63.56</v>
      </c>
      <c r="E221" s="1">
        <v>0</v>
      </c>
      <c r="F221" s="1">
        <v>29.98</v>
      </c>
      <c r="G221" s="1">
        <v>3.6</v>
      </c>
      <c r="H221" s="1">
        <v>29.98</v>
      </c>
    </row>
    <row r="222" spans="1:8" x14ac:dyDescent="0.2">
      <c r="A222" t="s">
        <v>224</v>
      </c>
      <c r="B222" t="s">
        <v>15</v>
      </c>
      <c r="C222" s="2">
        <v>1</v>
      </c>
      <c r="D222" s="1">
        <v>31.51</v>
      </c>
      <c r="E222" s="1">
        <v>5.24</v>
      </c>
      <c r="F222" s="1">
        <v>14.86</v>
      </c>
      <c r="G222" s="1">
        <v>1.79</v>
      </c>
      <c r="H222" s="1">
        <v>14.86</v>
      </c>
    </row>
    <row r="223" spans="1:8" x14ac:dyDescent="0.2">
      <c r="A223" t="s">
        <v>225</v>
      </c>
      <c r="B223" t="s">
        <v>15</v>
      </c>
      <c r="C223" s="2">
        <v>1</v>
      </c>
      <c r="D223" s="1">
        <v>25</v>
      </c>
      <c r="E223" s="1">
        <v>0</v>
      </c>
      <c r="F223" s="1">
        <v>12.5</v>
      </c>
      <c r="G223" s="1">
        <v>0</v>
      </c>
      <c r="H223" s="1">
        <v>12.5</v>
      </c>
    </row>
    <row r="224" spans="1:8" x14ac:dyDescent="0.2">
      <c r="A224" t="s">
        <v>226</v>
      </c>
      <c r="B224" t="s">
        <v>15</v>
      </c>
      <c r="C224" s="2">
        <v>1</v>
      </c>
      <c r="D224" s="1">
        <v>34.96</v>
      </c>
      <c r="E224" s="1">
        <v>0</v>
      </c>
      <c r="F224" s="1">
        <v>17.48</v>
      </c>
      <c r="G224" s="1">
        <v>0</v>
      </c>
      <c r="H224" s="1">
        <v>17.48</v>
      </c>
    </row>
    <row r="225" spans="1:8" x14ac:dyDescent="0.2">
      <c r="A225" t="s">
        <v>227</v>
      </c>
      <c r="B225" t="s">
        <v>15</v>
      </c>
      <c r="C225" s="2">
        <v>1</v>
      </c>
      <c r="D225" s="1">
        <v>37.049999999999997</v>
      </c>
      <c r="E225" s="1">
        <v>0</v>
      </c>
      <c r="F225" s="1">
        <v>17.48</v>
      </c>
      <c r="G225" s="1">
        <v>2.09</v>
      </c>
      <c r="H225" s="1">
        <v>17.48</v>
      </c>
    </row>
    <row r="226" spans="1:8" x14ac:dyDescent="0.2">
      <c r="A226" t="s">
        <v>228</v>
      </c>
      <c r="B226" t="s">
        <v>15</v>
      </c>
      <c r="C226" s="2">
        <v>1</v>
      </c>
      <c r="D226" s="1">
        <v>55.94</v>
      </c>
      <c r="E226" s="1">
        <v>0</v>
      </c>
      <c r="F226" s="1">
        <v>0</v>
      </c>
      <c r="G226" s="1">
        <v>5.99</v>
      </c>
      <c r="H226" s="1">
        <v>49.95</v>
      </c>
    </row>
    <row r="227" spans="1:8" x14ac:dyDescent="0.2">
      <c r="A227" t="s">
        <v>229</v>
      </c>
      <c r="B227" t="s">
        <v>15</v>
      </c>
      <c r="C227" s="2">
        <v>1</v>
      </c>
      <c r="D227" s="1">
        <v>39.14</v>
      </c>
      <c r="E227" s="1">
        <v>0</v>
      </c>
      <c r="F227" s="1">
        <v>0</v>
      </c>
      <c r="G227" s="1">
        <v>4.1900000000000004</v>
      </c>
      <c r="H227" s="1">
        <v>34.950000000000003</v>
      </c>
    </row>
    <row r="228" spans="1:8" x14ac:dyDescent="0.2">
      <c r="A228" t="s">
        <v>230</v>
      </c>
      <c r="B228" t="s">
        <v>15</v>
      </c>
      <c r="C228" s="2">
        <v>1</v>
      </c>
      <c r="D228" s="1">
        <v>41.96</v>
      </c>
      <c r="E228" s="1">
        <v>12.49</v>
      </c>
      <c r="F228" s="1">
        <v>0</v>
      </c>
      <c r="G228" s="1">
        <v>4.5</v>
      </c>
      <c r="H228" s="1">
        <v>37.46</v>
      </c>
    </row>
    <row r="229" spans="1:8" x14ac:dyDescent="0.2">
      <c r="A229" t="s">
        <v>231</v>
      </c>
      <c r="B229" t="s">
        <v>15</v>
      </c>
      <c r="C229" s="2">
        <v>1</v>
      </c>
      <c r="D229" s="1">
        <v>26.21</v>
      </c>
      <c r="E229" s="1">
        <v>8.74</v>
      </c>
      <c r="F229" s="1">
        <v>0</v>
      </c>
      <c r="G229" s="1">
        <v>0</v>
      </c>
      <c r="H229" s="1">
        <v>26.21</v>
      </c>
    </row>
    <row r="230" spans="1:8" x14ac:dyDescent="0.2">
      <c r="A230" t="s">
        <v>232</v>
      </c>
      <c r="B230" t="s">
        <v>15</v>
      </c>
      <c r="C230" s="2">
        <v>1</v>
      </c>
      <c r="D230" s="1">
        <v>39.14</v>
      </c>
      <c r="E230" s="1">
        <v>0</v>
      </c>
      <c r="F230" s="1">
        <v>0</v>
      </c>
      <c r="G230" s="1">
        <v>4.1900000000000004</v>
      </c>
      <c r="H230" s="1">
        <v>34.950000000000003</v>
      </c>
    </row>
    <row r="231" spans="1:8" x14ac:dyDescent="0.2">
      <c r="A231" t="s">
        <v>233</v>
      </c>
      <c r="B231" t="s">
        <v>63</v>
      </c>
      <c r="C231" s="2">
        <v>1</v>
      </c>
      <c r="D231" s="1">
        <v>89.54</v>
      </c>
      <c r="E231" s="1">
        <v>0</v>
      </c>
      <c r="F231" s="1">
        <v>0</v>
      </c>
      <c r="G231" s="1">
        <v>9.59</v>
      </c>
      <c r="H231" s="1">
        <v>79.95</v>
      </c>
    </row>
  </sheetData>
  <sortState xmlns:xlrd2="http://schemas.microsoft.com/office/spreadsheetml/2017/richdata2" ref="A8:H231">
    <sortCondition descending="1" ref="C8:C231"/>
  </sortState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9"/>
  <sheetViews>
    <sheetView workbookViewId="0">
      <selection activeCell="Q35" sqref="Q35"/>
    </sheetView>
  </sheetViews>
  <sheetFormatPr baseColWidth="10" defaultRowHeight="16" x14ac:dyDescent="0.2"/>
  <cols>
    <col min="1" max="1" width="31.83203125" bestFit="1" customWidth="1"/>
    <col min="2" max="3" width="10.5" bestFit="1" customWidth="1"/>
  </cols>
  <sheetData>
    <row r="3" spans="1:2" x14ac:dyDescent="0.2">
      <c r="A3" s="15" t="s">
        <v>236</v>
      </c>
      <c r="B3" t="s">
        <v>235</v>
      </c>
    </row>
    <row r="4" spans="1:2" x14ac:dyDescent="0.2">
      <c r="A4" s="16" t="s">
        <v>14</v>
      </c>
      <c r="B4" s="14">
        <v>10870.67</v>
      </c>
    </row>
    <row r="5" spans="1:2" x14ac:dyDescent="0.2">
      <c r="A5" s="16" t="s">
        <v>168</v>
      </c>
      <c r="B5" s="14">
        <v>4975</v>
      </c>
    </row>
    <row r="6" spans="1:2" x14ac:dyDescent="0.2">
      <c r="A6" s="16" t="s">
        <v>18</v>
      </c>
      <c r="B6" s="14">
        <v>3030.18</v>
      </c>
    </row>
    <row r="7" spans="1:2" x14ac:dyDescent="0.2">
      <c r="A7" s="16" t="s">
        <v>33</v>
      </c>
      <c r="B7" s="14">
        <v>1354.91</v>
      </c>
    </row>
    <row r="8" spans="1:2" x14ac:dyDescent="0.2">
      <c r="A8" s="16" t="s">
        <v>147</v>
      </c>
      <c r="B8" s="14">
        <v>920.12</v>
      </c>
    </row>
    <row r="9" spans="1:2" x14ac:dyDescent="0.2">
      <c r="A9" s="16" t="s">
        <v>237</v>
      </c>
      <c r="B9" s="14">
        <v>21150.880000000001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Beat Sales Data 2025 CLEANEDv2</vt:lpstr>
      <vt:lpstr>Beat Sales Data 2025 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</dc:creator>
  <cp:lastModifiedBy>Lukas</cp:lastModifiedBy>
  <dcterms:created xsi:type="dcterms:W3CDTF">2025-07-31T19:52:21Z</dcterms:created>
  <dcterms:modified xsi:type="dcterms:W3CDTF">2025-07-31T20:26:03Z</dcterms:modified>
</cp:coreProperties>
</file>